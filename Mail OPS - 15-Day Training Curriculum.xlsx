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5-Day Curriculum" sheetId="1" state="visible" r:id="rId3"/>
    <sheet name="Summary" sheetId="2" state="visible" r:id="rId4"/>
    <sheet name="SME inputs" sheetId="3" state="visible" r:id="rId5"/>
  </sheets>
  <definedNames>
    <definedName function="false" hidden="false" localSheetId="0" name="_xlnm.Print_Titles" vbProcedure="false">'15-Day Curriculum'!$4:$4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<sst xmlns="http://schemas.openxmlformats.org/spreadsheetml/2006/main" count="708" uniqueCount="419">
  <si>
    <t xml:space="preserve">Mail OPS – 15-Day Training Curriculum  ·  iCloud Mail Trust &amp; Safety Anti-Abuse</t>
  </si>
  <si>
    <t xml:space="preserve">Scope: inbound, outbound and Postmaster  ·  420 mins (7 hrs) of content per day  ·  Draft for SME review, 22 Oct 2026  ·  Contains Apple Internal – Confidential material</t>
  </si>
  <si>
    <t xml:space="preserve">Day</t>
  </si>
  <si>
    <t xml:space="preserve">Topics</t>
  </si>
  <si>
    <t xml:space="preserve">Sub-Topics</t>
  </si>
  <si>
    <t xml:space="preserve">Objective</t>
  </si>
  <si>
    <t xml:space="preserve">Modality</t>
  </si>
  <si>
    <t xml:space="preserve">Time (mins)</t>
  </si>
  <si>
    <t xml:space="preserve">Remarks</t>
  </si>
  <si>
    <t xml:space="preserve">Guide ref (Module 1)</t>
  </si>
  <si>
    <t xml:space="preserve">Content status</t>
  </si>
  <si>
    <t xml:space="preserve">WEEK 1  ·  Foundations: product, mail flow, tools and the milter chain  (Days 1–5)</t>
  </si>
  <si>
    <t xml:space="preserve">Team Mission &amp; Objectives - Mail OPS</t>
  </si>
  <si>
    <t xml:space="preserve">About Apple and its ecosystem
About Apple's trust and safety
What is Mail OPS</t>
  </si>
  <si>
    <t xml:space="preserve">Explain to new hires why the team exists, what the team does, and their roles and responsibilities</t>
  </si>
  <si>
    <t xml:space="preserve">SPL</t>
  </si>
  <si>
    <t xml:space="preserve">The time includes 60 mins course and 15 mins trainer facilitation where he/she clarifies the doubts and concerns.</t>
  </si>
  <si>
    <t xml:space="preserve">§1 Mission and mindset</t>
  </si>
  <si>
    <t xml:space="preserve">Partly ready – SME to add</t>
  </si>
  <si>
    <t xml:space="preserve">Privacy principles and data handling boundaries</t>
  </si>
  <si>
    <t xml:space="preserve">Core principles and data types
Handling data in investigations
Incidents and mistakes
GDPR</t>
  </si>
  <si>
    <t xml:space="preserve">Understand the core privacy principles that govern the team and know the do's and don'ts while handling user data</t>
  </si>
  <si>
    <t xml:space="preserve">§1 Privacy by design, §15 Guardrails</t>
  </si>
  <si>
    <t xml:space="preserve">iCloud and iCloud Mail</t>
  </si>
  <si>
    <t xml:space="preserve">Apple Account (DSID) and the product tree
iCloud overview and iCloud basics
iCloud Mail features and access methods
How users report abuse</t>
  </si>
  <si>
    <t xml:space="preserve">Introduce the iCloud environment, the features and privileges an iCloud account comes with, and how users report abuse</t>
  </si>
  <si>
    <t xml:space="preserve">§2, §3, §11</t>
  </si>
  <si>
    <t xml:space="preserve">Ready – Module 1 guide</t>
  </si>
  <si>
    <t xml:space="preserve">iCloud+ mail features</t>
  </si>
  <si>
    <t xml:space="preserve">Hide My Email
iCloud Private Relay
Custom Email Domain
Mail Privacy Protection</t>
  </si>
  <si>
    <t xml:space="preserve">Explain the iCloud+ mail features, how Hide My Email forwarding works, and why these features matter for abuse work</t>
  </si>
  <si>
    <t xml:space="preserve">The time includes 45 mins course and 15 mins trainer facilitation where he/she clarifies the doubts and concerns.</t>
  </si>
  <si>
    <t xml:space="preserve">§2, §8</t>
  </si>
  <si>
    <t xml:space="preserve">Hands on: iCloud and iCloud+ Mail</t>
  </si>
  <si>
    <t xml:space="preserve">Create an account and add aliases
Try Hide My Email and other iCloud+ features
Rules, Junk and Mail Privacy Protection</t>
  </si>
  <si>
    <t xml:space="preserve">Create an iCloud account, add aliases, try iCloud+ and its available features. Send and receive mail through the account created and understand the process</t>
  </si>
  <si>
    <t xml:space="preserve">Activity</t>
  </si>
  <si>
    <t xml:space="preserve">Guide: Week 1 tasks</t>
  </si>
  <si>
    <t xml:space="preserve">Ops to arrange</t>
  </si>
  <si>
    <t xml:space="preserve">Quick Wrap-Up</t>
  </si>
  <si>
    <t xml:space="preserve">Key takeaways
Open questions
Exit ticket</t>
  </si>
  <si>
    <t xml:space="preserve">Consolidate the day's learning and note open questions for the next day's recap</t>
  </si>
  <si>
    <t xml:space="preserve">Trainer to build</t>
  </si>
  <si>
    <t xml:space="preserve">Day 1 Recap</t>
  </si>
  <si>
    <t xml:space="preserve">Round-robin questions on Day 1 topics
Open questions from the wrap-up</t>
  </si>
  <si>
    <t xml:space="preserve">Check what trainees retained from Day 1 and close gaps before new content</t>
  </si>
  <si>
    <t xml:space="preserve">Mail flow architecture</t>
  </si>
  <si>
    <t xml:space="preserve">Inbound mail flow
Outbound mail flow
Email headers</t>
  </si>
  <si>
    <t xml:space="preserve">Know the inbound and outbound mail architectures and understand where filtering and policy enforcement happen. Also, be able to read an email header and judge authentication results</t>
  </si>
  <si>
    <t xml:space="preserve">Blended</t>
  </si>
  <si>
    <t xml:space="preserve">The blended module - Trainees go through the self-paced module (60 mins), after which the trainer reinforces each workflow with the trainees (30 mins).</t>
  </si>
  <si>
    <t xml:space="preserve">§4, §5, §7, §14 Email fundamentals</t>
  </si>
  <si>
    <t xml:space="preserve">Tool Overview: Heimdall</t>
  </si>
  <si>
    <t xml:space="preserve">What is Heimdall and its UI
Email classification
Naming convention
Allowlist/Blocklist</t>
  </si>
  <si>
    <t xml:space="preserve">Understand how Heimdall classifies emails, the types of classifications, naming conventions, the Heimdall UI, and writing rules for blocking or allowing a campaign</t>
  </si>
  <si>
    <t xml:space="preserve">§6 stages 1 and 8, §14</t>
  </si>
  <si>
    <t xml:space="preserve">Tool Walkthrough: Heimdall</t>
  </si>
  <si>
    <t xml:space="preserve">Live UI demo
Reading existing rules
Writing an allowlist or blocklist rule</t>
  </si>
  <si>
    <t xml:space="preserve">See Heimdall used live and follow how a rule is read and written end to end</t>
  </si>
  <si>
    <t xml:space="preserve">ILT</t>
  </si>
  <si>
    <t xml:space="preserve">SME to provide</t>
  </si>
  <si>
    <t xml:space="preserve">URL/SUPs</t>
  </si>
  <si>
    <t xml:space="preserve">To be confirmed by SME</t>
  </si>
  <si>
    <t xml:space="preserve">Understand what URL/SUPs are, when they are used and how they are handled</t>
  </si>
  <si>
    <t xml:space="preserve">Placeholder time. URL/SUP is not defined in the Module 1 guide; SME to confirm content, modality and duration</t>
  </si>
  <si>
    <t xml:space="preserve">Hands on: URL/SUPs</t>
  </si>
  <si>
    <t xml:space="preserve">Practice on sample URL/SUP requests</t>
  </si>
  <si>
    <t xml:space="preserve">Handle sample URL/SUP requests using the process covered in the session</t>
  </si>
  <si>
    <t xml:space="preserve">Placeholder time; depends on SME content</t>
  </si>
  <si>
    <t xml:space="preserve">Day 2 Recap</t>
  </si>
  <si>
    <t xml:space="preserve">Round-robin questions on Day 2 topics
Open questions from the wrap-up</t>
  </si>
  <si>
    <t xml:space="preserve">Check what trainees retained from Day 2 and close gaps before new content</t>
  </si>
  <si>
    <t xml:space="preserve">Tools overview - part 1 (Splunk) - Investigate</t>
  </si>
  <si>
    <t xml:space="preserve">Which indexes we use
How we write queries</t>
  </si>
  <si>
    <t xml:space="preserve">Know the various indexes used in Splunk and write queries</t>
  </si>
  <si>
    <t xml:space="preserve">§6 stage 9 (ETL), §10 Tools by stage</t>
  </si>
  <si>
    <t xml:space="preserve">Hands on: Splunk</t>
  </si>
  <si>
    <t xml:space="preserve">Trainer does a round robin session with the trainees on Splunk indexes and queries</t>
  </si>
  <si>
    <t xml:space="preserve">Build a mental model of how indexes and queries are processed in Apple's systems</t>
  </si>
  <si>
    <t xml:space="preserve">Tools overview - part 1 (Sonar) - Investigate</t>
  </si>
  <si>
    <t xml:space="preserve">Case management overview
Case types: Postmaster, abuse, LE reports
Queues and the case lifecycle</t>
  </si>
  <si>
    <t xml:space="preserve">Understand how cases arrive in Sonar and how they are organised, worked and closed</t>
  </si>
  <si>
    <t xml:space="preserve">§10 Tools by stage, §14 Ops terms</t>
  </si>
  <si>
    <t xml:space="preserve">Hands on: Sonar</t>
  </si>
  <si>
    <t xml:space="preserve">Navigate a sample queue
Open, read and update a sample case
Record root cause and sub root cause</t>
  </si>
  <si>
    <t xml:space="preserve">Find, read and update a case in Sonar and record its classification correctly</t>
  </si>
  <si>
    <t xml:space="preserve">§14 Ops terms</t>
  </si>
  <si>
    <t xml:space="preserve">Tools overview - part 2 (Proofpoint, Bazooka, Gattler) - Mitigate</t>
  </si>
  <si>
    <t xml:space="preserve">Proofpoint PPS/TAP: phishing, malware, URL defense, rules
Bazooka
Gattler</t>
  </si>
  <si>
    <t xml:space="preserve">Understand which mitigation tools the team uses and what each one blocks or actions</t>
  </si>
  <si>
    <t xml:space="preserve">§6 stage 7, §10</t>
  </si>
  <si>
    <t xml:space="preserve">Day 3 Recap</t>
  </si>
  <si>
    <t xml:space="preserve">Round-robin questions on Day 3 topics
Open questions from the wrap-up</t>
  </si>
  <si>
    <t xml:space="preserve">Check what trainees retained from Day 3 and close gaps before new content</t>
  </si>
  <si>
    <t xml:space="preserve">Tools overview - part 3 (Radar, Slack, Quip) - Engineer</t>
  </si>
  <si>
    <t xml:space="preserve">Radar: engineering escalation and feature requests
Slack: coordination
Quip: SOPs and reports</t>
  </si>
  <si>
    <t xml:space="preserve">Know how ops findings are escalated to Engineering and where SOPs and reports live</t>
  </si>
  <si>
    <t xml:space="preserve">The time includes 30 mins course and 15 mins trainer facilitation where he/she clarifies the doubts and concerns.</t>
  </si>
  <si>
    <t xml:space="preserve">§10 Tools by stage</t>
  </si>
  <si>
    <t xml:space="preserve">Tools overview - part 4 (Khiron, iHawk) - Other tools</t>
  </si>
  <si>
    <t xml:space="preserve">Khiron
iHawk</t>
  </si>
  <si>
    <t xml:space="preserve">Know what Khiron and iHawk are used for and when an analyst needs them</t>
  </si>
  <si>
    <t xml:space="preserve">The time includes 30 mins course and 15 mins trainer facilitation where he/she clarifies the doubts and concerns. Slack and Quip are covered in part 3, so they are dropped here to avoid repetition.</t>
  </si>
  <si>
    <t xml:space="preserve">Hands on: Tools by stage</t>
  </si>
  <si>
    <t xml:space="preserve">Match the tool to the task: Identify, Mitigate, Engineer, Collaborate</t>
  </si>
  <si>
    <t xml:space="preserve">Pick the right tool for a given task and say where it sits in the operating model</t>
  </si>
  <si>
    <t xml:space="preserve">The 14-stage milter chain</t>
  </si>
  <si>
    <t xml:space="preserve">Authentication, stages 1-6: Heimdall Connect, SPF, DKIM, DMARC, ARC, BIMI
Enterprise, stage 7: Proofpoint
Intelligence, stages 8-14: Heimdall ML, ETL, Final Milter, HME, ARA, Categorization, Mantis
Processing paths and fail-open behaviour</t>
  </si>
  <si>
    <t xml:space="preserve">Name each milter stage, what it checks and the analyst takeaway, and explain why a spike in spam reports can mean an outage rather than a campaign</t>
  </si>
  <si>
    <t xml:space="preserve">§6</t>
  </si>
  <si>
    <t xml:space="preserve">Hands on: Header analysis with samples</t>
  </si>
  <si>
    <t xml:space="preserve">Read Authentication-Results headers
Map header evidence to milter stages
Spot spoofing, forwarding (ARC) and Hide My Email relay headers</t>
  </si>
  <si>
    <t xml:space="preserve">Analyse sample headers and explain which stages each message passed or failed, and why</t>
  </si>
  <si>
    <t xml:space="preserve">Covers the SME's 'Header analysis with samples' item</t>
  </si>
  <si>
    <t xml:space="preserve">§6, §14 Email fundamentals</t>
  </si>
  <si>
    <t xml:space="preserve">Day 4 Recap</t>
  </si>
  <si>
    <t xml:space="preserve">Round-robin questions on Day 4 topics
Open questions from the wrap-up</t>
  </si>
  <si>
    <t xml:space="preserve">Check what trainees retained from Day 4 and close gaps before new content</t>
  </si>
  <si>
    <t xml:space="preserve">Inbound Mail Flow: Deep Dive</t>
  </si>
  <si>
    <t xml:space="preserve">Front door: Heimdall Connect, Spamhaus, NFTrack
ID check: SPF, DKIM, DMARC, ARC
Security scan: Proofpoint, Heimdall ML, Mantis
Final decision and sorting: Final Milter, ARA, Categorization</t>
  </si>
  <si>
    <t xml:space="preserve">Trace an inbound message checkpoint by checkpoint and explain what a block at each one usually means</t>
  </si>
  <si>
    <t xml:space="preserve">§5, §6</t>
  </si>
  <si>
    <t xml:space="preserve">Hands on: Inbound mail tracing</t>
  </si>
  <si>
    <t xml:space="preserve">Trace sample inbound messages
Explain where and why each one was stopped or delivered</t>
  </si>
  <si>
    <t xml:space="preserve">Follow real examples through the inbound flow and justify each verdict</t>
  </si>
  <si>
    <t xml:space="preserve">Guide: Weeks 2-3 tasks</t>
  </si>
  <si>
    <t xml:space="preserve">Outbound Mail Flow: Deep Dive</t>
  </si>
  <si>
    <t xml:space="preserve">Sending: Iscream (apps), MccGateway/MailWS2 (web)
Quick check: Dragon
Sending limits: NFTrack
Outbound milters and DKIM signing (ASMTP)
Retries, bounces and outbound abuse signals</t>
  </si>
  <si>
    <t xml:space="preserve">Trace an outbound message end to end and recognise the signals of outbound abuse</t>
  </si>
  <si>
    <t xml:space="preserve">§7</t>
  </si>
  <si>
    <t xml:space="preserve">Hands on: Outbound mail tracing</t>
  </si>
  <si>
    <t xml:space="preserve">Trace sample outbound messages
Read bounces: 4xx vs 5xx
Spot quota hits and harvested-list bounce patterns</t>
  </si>
  <si>
    <t xml:space="preserve">Follow examples through the outbound flow and spot early signs of abuse</t>
  </si>
  <si>
    <t xml:space="preserve">§7, §14</t>
  </si>
  <si>
    <t xml:space="preserve">WEEK 2  ·  Abuse, account actions, Postmaster and triage  (Days 6–10)</t>
  </si>
  <si>
    <t xml:space="preserve">Week 1 Knowledge Check</t>
  </si>
  <si>
    <t xml:space="preserve">Days 1-5: product, privacy, architecture, tools, milter chain, mail flows</t>
  </si>
  <si>
    <t xml:space="preserve">Confirm the foundations are in place before abuse and casework begin</t>
  </si>
  <si>
    <t xml:space="preserve">Assessment</t>
  </si>
  <si>
    <t xml:space="preserve">Uses the Module 1 self-check quiz (§16) plus trainer-built questions. Pass mark to be agreed with Ops</t>
  </si>
  <si>
    <t xml:space="preserve">§16</t>
  </si>
  <si>
    <t xml:space="preserve">Knowledge Check Review</t>
  </si>
  <si>
    <t xml:space="preserve">Walk through the answers
Revisit weak areas</t>
  </si>
  <si>
    <t xml:space="preserve">Close the gaps the knowledge check found</t>
  </si>
  <si>
    <t xml:space="preserve">Our operating model: Identify, Mitigate, Engineer</t>
  </si>
  <si>
    <t xml:space="preserve">Identify, Triage, Mitigate, Analyze, Engineer, Measure loop
Reactive vs proactive work
The proactive hunting loop
Turning ops insight into an engineering solution</t>
  </si>
  <si>
    <t xml:space="preserve">Explain the team's operating loop and why proactive hunting comes before alerts</t>
  </si>
  <si>
    <t xml:space="preserve">§1 Mindset, §10</t>
  </si>
  <si>
    <t xml:space="preserve">Abuse landscape</t>
  </si>
  <si>
    <t xml:space="preserve">Inbound threats
Outbound abuse
Account abuse
Cross-channel: FaceTime, iMessage
External escalations</t>
  </si>
  <si>
    <t xml:space="preserve">Recognise the main abuse categories the team handles across inbound, outbound and accounts</t>
  </si>
  <si>
    <t xml:space="preserve">§9</t>
  </si>
  <si>
    <t xml:space="preserve">Abuse landscape in iCloud Outbound</t>
  </si>
  <si>
    <t xml:space="preserve">HME abuse
Bad forward
HME + bad forward
Email alias
Login alias
Apple ID</t>
  </si>
  <si>
    <t xml:space="preserve">Identify each outbound abuse type and the account signals behind it</t>
  </si>
  <si>
    <t xml:space="preserve">SME-led session, from the SME's Day 4 plan</t>
  </si>
  <si>
    <t xml:space="preserve">§8, §9 (partial)</t>
  </si>
  <si>
    <t xml:space="preserve">Day 6 Recap</t>
  </si>
  <si>
    <t xml:space="preserve">Round-robin questions on Day 6 topics
Open questions from the wrap-up</t>
  </si>
  <si>
    <t xml:space="preserve">Check what trainees retained from Day 6 and close gaps before new content</t>
  </si>
  <si>
    <t xml:space="preserve">Types/Actions on accounts</t>
  </si>
  <si>
    <t xml:space="preserve">Fraud account vs compromised account
Account actions on a DSID
Recording Reviewed vs Actioned</t>
  </si>
  <si>
    <t xml:space="preserve">Decide which action applies to which type of account and record it correctly</t>
  </si>
  <si>
    <t xml:space="preserve">§13B, §14 Ops terms, §15</t>
  </si>
  <si>
    <t xml:space="preserve">Actioning a case</t>
  </si>
  <si>
    <t xml:space="preserve">Triage: severity, category, root cause
Mitigate per SOP
Record root cause and sub root cause
Guardrails</t>
  </si>
  <si>
    <t xml:space="preserve">Work a case end to end in Sonar, from intake to closure</t>
  </si>
  <si>
    <t xml:space="preserve">§10, §14, §15</t>
  </si>
  <si>
    <t xml:space="preserve">Hands-on with sample accounts</t>
  </si>
  <si>
    <t xml:space="preserve">Review sample accounts
Classify the abuse type
Choose and record the action</t>
  </si>
  <si>
    <t xml:space="preserve">Apply account actions to sample accounts with guidance</t>
  </si>
  <si>
    <t xml:space="preserve">SME Day 5</t>
  </si>
  <si>
    <t xml:space="preserve">Day 7 Recap</t>
  </si>
  <si>
    <t xml:space="preserve">Round-robin questions on Day 7 topics
Open questions from the wrap-up</t>
  </si>
  <si>
    <t xml:space="preserve">Check what trainees retained from Day 7 and close gaps before new content</t>
  </si>
  <si>
    <t xml:space="preserve">Mixed sample set: fraud, compromised, alias and HME misuse
Independent actioning with trainer spot checks</t>
  </si>
  <si>
    <t xml:space="preserve">Action sample accounts independently with accurate records</t>
  </si>
  <si>
    <t xml:space="preserve">SME Day 6</t>
  </si>
  <si>
    <t xml:space="preserve">Trainer case review</t>
  </si>
  <si>
    <t xml:space="preserve">Walk through trainee decisions
False positives
Compromise vs fraud calls</t>
  </si>
  <si>
    <t xml:space="preserve">Learn from the day's errors before moving on</t>
  </si>
  <si>
    <t xml:space="preserve">§14, §15</t>
  </si>
  <si>
    <t xml:space="preserve">Day 8 Recap</t>
  </si>
  <si>
    <t xml:space="preserve">Round-robin questions on Day 8 topics
Open questions from the wrap-up</t>
  </si>
  <si>
    <t xml:space="preserve">Check what trainees retained from Day 8 and close gaps before new content</t>
  </si>
  <si>
    <t xml:space="preserve">Working with Postmaster</t>
  </si>
  <si>
    <t xml:space="preserve">Key policy positions (support.apple.com/102322)
Postmaster case flow
Case types: rejected, Junk, delayed, privaterelay error, mailbox doesn't exist
Never promise allow-listing</t>
  </si>
  <si>
    <t xml:space="preserve">Handle a sender's deliverability request from intake to root cause and response</t>
  </si>
  <si>
    <t xml:space="preserve">§12, §15</t>
  </si>
  <si>
    <t xml:space="preserve">Hands on: Postmaster cases</t>
  </si>
  <si>
    <t xml:space="preserve">Check the request has all five required details
Find the cause
Draft the sender response</t>
  </si>
  <si>
    <t xml:space="preserve">Work sample Postmaster cases and write a correct, policy-safe reply</t>
  </si>
  <si>
    <t xml:space="preserve">§12</t>
  </si>
  <si>
    <t xml:space="preserve">Other Ops workflow - Spike in user spam reports</t>
  </si>
  <si>
    <t xml:space="preserve">Check pipeline health first (fail-open)
Look for a common sender, IP, URL or template
Mitigate and monitor false-positive impact</t>
  </si>
  <si>
    <t xml:space="preserve">Follow the spam-spike playbook and tell an outage from a campaign</t>
  </si>
  <si>
    <t xml:space="preserve">The blended module - Trainees go through the self-paced module (45 mins), after which the trainer reinforces each workflow with the trainees (15 mins).</t>
  </si>
  <si>
    <t xml:space="preserve">§13A</t>
  </si>
  <si>
    <t xml:space="preserve">Other Ops workflow - Outbound abuse</t>
  </si>
  <si>
    <t xml:space="preserve">Identify the DSIDs
New account vs old account vs HME-heavy patterns
Account action vs compromise handling
Cluster patterns for Engineering</t>
  </si>
  <si>
    <t xml:space="preserve">Follow the outbound abuse playbook and protect legitimate users whose accounts are compromised</t>
  </si>
  <si>
    <t xml:space="preserve">§13B</t>
  </si>
  <si>
    <t xml:space="preserve">Day 9 Recap</t>
  </si>
  <si>
    <t xml:space="preserve">Round-robin questions on Day 9 topics
Open questions from the wrap-up</t>
  </si>
  <si>
    <t xml:space="preserve">Check what trainees retained from Day 9 and close gaps before new content</t>
  </si>
  <si>
    <t xml:space="preserve">Hands on: Postmaster and triage scenarios</t>
  </si>
  <si>
    <t xml:space="preserve">Postmaster cases
Spam-spike scenario
Outbound abuse scenario</t>
  </si>
  <si>
    <t xml:space="preserve">Apply the Day 9 playbooks to realistic scenarios</t>
  </si>
  <si>
    <t xml:space="preserve">§12, §13</t>
  </si>
  <si>
    <t xml:space="preserve">Week 2 Practical Assessment</t>
  </si>
  <si>
    <t xml:space="preserve">Sample account actioning
Postmaster case response
Header analysis</t>
  </si>
  <si>
    <t xml:space="preserve">Show they can work the core case types independently</t>
  </si>
  <si>
    <t xml:space="preserve">Scored against a rubric. Pass mark to be agreed with Ops</t>
  </si>
  <si>
    <t xml:space="preserve">Assessment Debrief</t>
  </si>
  <si>
    <t xml:space="preserve">Individual feedback
Common errors
Focus areas for Week 3</t>
  </si>
  <si>
    <t xml:space="preserve">Understand individual results and what to work on next</t>
  </si>
  <si>
    <t xml:space="preserve">WEEK 3  ·  Campaigns, outbound practice, nesting and certification  (Days 11–15)</t>
  </si>
  <si>
    <t xml:space="preserve">Day 10 Recap</t>
  </si>
  <si>
    <t xml:space="preserve">Round-robin questions on Day 10 topics
Open questions from the wrap-up</t>
  </si>
  <si>
    <t xml:space="preserve">Check what trainees retained from Day 10 and close gaps before new content</t>
  </si>
  <si>
    <t xml:space="preserve">Identifying and actioning on campaigns</t>
  </si>
  <si>
    <t xml:space="preserve">Spotting a campaign: shared sender, IP, URL or template
Clustering accounts and DSIDs
Campaign-level mitigation: Proofpoint and Heimdall rules
Measuring impact and false positives</t>
  </si>
  <si>
    <t xml:space="preserve">Identify a campaign from individual signals and action it as a whole</t>
  </si>
  <si>
    <t xml:space="preserve">SME-led session, from the SME's Day 7 plan</t>
  </si>
  <si>
    <t xml:space="preserve">§10 Hunting questions, §13</t>
  </si>
  <si>
    <t xml:space="preserve">Hands on: Campaigns</t>
  </si>
  <si>
    <t xml:space="preserve">Hunt for a campaign in sample data
Cluster the accounts
Propose the mitigation</t>
  </si>
  <si>
    <t xml:space="preserve">Find and action a campaign in sample data</t>
  </si>
  <si>
    <t xml:space="preserve">§10</t>
  </si>
  <si>
    <t xml:space="preserve">Engineering hand-off: writing a Radar</t>
  </si>
  <si>
    <t xml:space="preserve">Problem statement
Volume and trend
Representative examples
Stage affected and user impact
Proposed fix and success metric</t>
  </si>
  <si>
    <t xml:space="preserve">Package a recurring pattern into a strong engineering hand-off</t>
  </si>
  <si>
    <t xml:space="preserve">§10 Ops insight to engineering</t>
  </si>
  <si>
    <t xml:space="preserve">Day 11 Recap</t>
  </si>
  <si>
    <t xml:space="preserve">Round-robin questions on Day 11 topics
Open questions from the wrap-up</t>
  </si>
  <si>
    <t xml:space="preserve">Check what trainees retained from Day 11 and close gaps before new content</t>
  </si>
  <si>
    <t xml:space="preserve">Outbound Hands-on</t>
  </si>
  <si>
    <t xml:space="preserve">Sample outbound cases end to end: identify, action, record</t>
  </si>
  <si>
    <t xml:space="preserve">Work outbound cases independently at increasing pace</t>
  </si>
  <si>
    <t xml:space="preserve">SME Day 8</t>
  </si>
  <si>
    <t xml:space="preserve">Walk through trainee decisions
Accuracy and turnaround</t>
  </si>
  <si>
    <t xml:space="preserve">Day 12 Recap</t>
  </si>
  <si>
    <t xml:space="preserve">Round-robin questions on Day 12 topics
Open questions from the wrap-up</t>
  </si>
  <si>
    <t xml:space="preserve">Check what trainees retained from Day 12 and close gaps before new content</t>
  </si>
  <si>
    <t xml:space="preserve">Sample outbound cases, including campaign-linked accounts</t>
  </si>
  <si>
    <t xml:space="preserve">Work outbound cases independently, including accounts linked to a campaign</t>
  </si>
  <si>
    <t xml:space="preserve">SME Day 9</t>
  </si>
  <si>
    <t xml:space="preserve">Shadow a proactive hunt</t>
  </si>
  <si>
    <t xml:space="preserve">Join a senior analyst's hunt
Note the questions and queries they use</t>
  </si>
  <si>
    <t xml:space="preserve">See how an experienced analyst finds abuse before an alert fires</t>
  </si>
  <si>
    <t xml:space="preserve">Guide: Weeks 2-3 tasks, §10</t>
  </si>
  <si>
    <t xml:space="preserve">Proofpoint and Heimdall rule review</t>
  </si>
  <si>
    <t xml:space="preserve">Read live rules with a senior analyst
Weigh catch rate against false positives</t>
  </si>
  <si>
    <t xml:space="preserve">Understand how real rules are written and judged</t>
  </si>
  <si>
    <t xml:space="preserve">Guide: Weeks 2-3 tasks, §15</t>
  </si>
  <si>
    <t xml:space="preserve">Day 13 Recap</t>
  </si>
  <si>
    <t xml:space="preserve">Round-robin questions on Day 13 topics
Open questions from the wrap-up</t>
  </si>
  <si>
    <t xml:space="preserve">Check what trainees retained from Day 13 and close gaps before new content</t>
  </si>
  <si>
    <t xml:space="preserve">Nesting: supervised mixed queue</t>
  </si>
  <si>
    <t xml:space="preserve">Inbound, outbound and Postmaster cases
QA review on every case</t>
  </si>
  <si>
    <t xml:space="preserve">Work a realistic mixed queue with QA support</t>
  </si>
  <si>
    <t xml:space="preserve">Includes the SME's Day 10 outbound hands-on. Needs a live or mirrored queue and QA reviewers</t>
  </si>
  <si>
    <t xml:space="preserve">QA feedback session</t>
  </si>
  <si>
    <t xml:space="preserve">Case-by-case QA findings
Patterns across the batch</t>
  </si>
  <si>
    <t xml:space="preserve">Turn QA findings into specific fixes before certification</t>
  </si>
  <si>
    <t xml:space="preserve">Guardrails and escalation refresher</t>
  </si>
  <si>
    <t xml:space="preserve">Privacy first
Law enforcement and regulator contact goes through Legal
Protect the legitimate user
Never promise allow-listing
Escalate when unsure</t>
  </si>
  <si>
    <t xml:space="preserve">Restate the non-negotiables before working independently</t>
  </si>
  <si>
    <t xml:space="preserve">The time includes 15 mins course and 15 mins trainer facilitation where he/she clarifies the doubts and concerns.</t>
  </si>
  <si>
    <t xml:space="preserve">§15</t>
  </si>
  <si>
    <t xml:space="preserve">Day 14 Recap and Q&amp;A</t>
  </si>
  <si>
    <t xml:space="preserve">Round-robin questions on Day 14
Last open questions before certification</t>
  </si>
  <si>
    <t xml:space="preserve">Clear remaining doubts before the final certification</t>
  </si>
  <si>
    <t xml:space="preserve">Final Certification - Theory</t>
  </si>
  <si>
    <t xml:space="preserve">All modules</t>
  </si>
  <si>
    <t xml:space="preserve">Show knowledge across the full curriculum</t>
  </si>
  <si>
    <t xml:space="preserve">Pass mark to be agreed with Ops</t>
  </si>
  <si>
    <t xml:space="preserve">Final Certification - Practical</t>
  </si>
  <si>
    <t xml:space="preserve">One inbound triage
One outbound account case
One Postmaster response
One header analysis</t>
  </si>
  <si>
    <t xml:space="preserve">Show they can handle each case type end to end without help</t>
  </si>
  <si>
    <t xml:space="preserve">Results and development plans</t>
  </si>
  <si>
    <t xml:space="preserve">Individual results
Strengths and focus areas
Support plan for the first weeks on the floor</t>
  </si>
  <si>
    <t xml:space="preserve">Leave training with a clear picture of where each trainee stands</t>
  </si>
  <si>
    <t xml:space="preserve">Transition to process</t>
  </si>
  <si>
    <t xml:space="preserve">Production access check: Sonar, Splunk, Proofpoint, Heimdall, Radar, Slack, YubiKey/MFA
Weeks 4-5 expectations: own hunts, real-time mitigation, metrics, one Radar hand-off
Buddy assignment</t>
  </si>
  <si>
    <t xml:space="preserve">Know what is expected in the first weeks on the floor and confirm everything is in place</t>
  </si>
  <si>
    <t xml:space="preserve">Guide: Your first 5 weeks</t>
  </si>
  <si>
    <t xml:space="preserve">Programme close and feedback</t>
  </si>
  <si>
    <t xml:space="preserve">Training feedback survey
Close</t>
  </si>
  <si>
    <t xml:space="preserve">Capture trainee feedback on the programme</t>
  </si>
  <si>
    <t xml:space="preserve">Summary – 15-Day Mail OPS Curriculum</t>
  </si>
  <si>
    <t xml:space="preserve">Minutes and hours are formulas over the 15-Day Curriculum sheet, so they update when session times change.</t>
  </si>
  <si>
    <t xml:space="preserve">Day by day</t>
  </si>
  <si>
    <t xml:space="preserve">Week</t>
  </si>
  <si>
    <t xml:space="preserve">Theme</t>
  </si>
  <si>
    <t xml:space="preserve">Mins</t>
  </si>
  <si>
    <t xml:space="preserve">Hours</t>
  </si>
  <si>
    <t xml:space="preserve">Checkpoint</t>
  </si>
  <si>
    <t xml:space="preserve">Maps to SME 10-day plan</t>
  </si>
  <si>
    <t xml:space="preserve">Team, privacy and the iCloud Mail product</t>
  </si>
  <si>
    <t xml:space="preserve">SME Day 1</t>
  </si>
  <si>
    <t xml:space="preserve">Mail flow architecture, Heimdall and URL/SUPs</t>
  </si>
  <si>
    <t xml:space="preserve">SME Day 2 (architecture, headers, Heimdall) + SME Day 3 (URL/SUP)</t>
  </si>
  <si>
    <t xml:space="preserve">Investigate and mitigate tools</t>
  </si>
  <si>
    <t xml:space="preserve">SME Day 3 (Splunk, Tools, Hands-on)</t>
  </si>
  <si>
    <t xml:space="preserve">Engineer and other tools, the 14-stage milter chain, header analysis</t>
  </si>
  <si>
    <t xml:space="preserve">SME Day 3 (Tools) + SME Day 2 (milter chain, header samples)</t>
  </si>
  <si>
    <t xml:space="preserve">Inbound and outbound mail flow deep dives</t>
  </si>
  <si>
    <t xml:space="preserve">SME Day 2 (inbound and outbound architecture), extended</t>
  </si>
  <si>
    <t xml:space="preserve">Knowledge check, operating model and abuse landscape</t>
  </si>
  <si>
    <t xml:space="preserve">Week 1 knowledge check</t>
  </si>
  <si>
    <t xml:space="preserve">SME Day 4 (abuse landscape in iCloud Outbound)</t>
  </si>
  <si>
    <t xml:space="preserve">Account actions and actioning a case</t>
  </si>
  <si>
    <t xml:space="preserve">SME Day 4 (types/actions on accounts) + SME Day 5 (hands-on)</t>
  </si>
  <si>
    <t xml:space="preserve">Postmaster and triage playbooks</t>
  </si>
  <si>
    <t xml:space="preserve">New – not in SME plan</t>
  </si>
  <si>
    <t xml:space="preserve">Scenario practice and Week 2 assessment</t>
  </si>
  <si>
    <t xml:space="preserve">Week 2 practical assessment</t>
  </si>
  <si>
    <t xml:space="preserve">Campaigns and engineering hand-offs</t>
  </si>
  <si>
    <t xml:space="preserve">SME Day 7</t>
  </si>
  <si>
    <t xml:space="preserve">Outbound hands-on</t>
  </si>
  <si>
    <t xml:space="preserve">Outbound hands-on and working with senior analysts</t>
  </si>
  <si>
    <t xml:space="preserve">SME Day 9 + guide Weeks 2-3 tasks</t>
  </si>
  <si>
    <t xml:space="preserve">SME Day 10 (outbound hands-on) + nesting</t>
  </si>
  <si>
    <t xml:space="preserve">Final certification and transition to process</t>
  </si>
  <si>
    <t xml:space="preserve">Final certification</t>
  </si>
  <si>
    <t xml:space="preserve">Total</t>
  </si>
  <si>
    <t xml:space="preserve">Time by modality</t>
  </si>
  <si>
    <t xml:space="preserve">Sessions</t>
  </si>
  <si>
    <t xml:space="preserve">Share of time</t>
  </si>
  <si>
    <t xml:space="preserve">What it means</t>
  </si>
  <si>
    <t xml:space="preserve">Self-paced learning module, followed by trainer facilitation for doubts (split shown in Remarks)</t>
  </si>
  <si>
    <t xml:space="preserve">Self-paced module first, then the trainer reinforces each workflow (split shown in Remarks)</t>
  </si>
  <si>
    <t xml:space="preserve">Instructor-led session or live demo</t>
  </si>
  <si>
    <t xml:space="preserve">Hands-on practice, recaps and wrap-ups</t>
  </si>
  <si>
    <t xml:space="preserve">Scored knowledge check, practical assessment or certification</t>
  </si>
  <si>
    <t xml:space="preserve">Content readiness</t>
  </si>
  <si>
    <t xml:space="preserve">Content exists in the Module 1 learning guide (section shown in the Guide ref column)</t>
  </si>
  <si>
    <t xml:space="preserve">Module 1 covers the basics; the SME needs to add tool, SOP or policy detail</t>
  </si>
  <si>
    <t xml:space="preserve">Content, samples or data must come from the SME (see the SME inputs sheet)</t>
  </si>
  <si>
    <t xml:space="preserve">Trainer builds the activity, quiz or rubric from existing content</t>
  </si>
  <si>
    <t xml:space="preserve">Needs access, accounts, people or a queue arranged by Ops</t>
  </si>
  <si>
    <t xml:space="preserve">How this plan differs from the SME's 10-day plan</t>
  </si>
  <si>
    <t xml:space="preserve">•  Topic order follows the Mail OPS draft: URL/SUPs on Day 2, the 14-stage milter chain on Day 4. The SME's 'Header analysis with samples' is kept as a Day 4 hands-on right after the chain.</t>
  </si>
  <si>
    <t xml:space="preserve">•  Scope covers inbound, outbound and Postmaster, so Postmaster, the inbound deep dive, the triage playbooks and the operating model are added (not in the SME's 10-day plan).</t>
  </si>
  <si>
    <t xml:space="preserve">•  Sample-account practice is about one day (Days 7-8) against two days in the SME plan, to make room for Postmaster and inbound work.</t>
  </si>
  <si>
    <t xml:space="preserve">•  The SME's Day 10 outbound hands-on is folded into the Day 14 nesting, which uses a mixed inbound, outbound and Postmaster queue.</t>
  </si>
  <si>
    <t xml:space="preserve">•  Assessment checkpoints: Day 6 knowledge check, Day 10 practical assessment, Day 15 final certification.</t>
  </si>
  <si>
    <t xml:space="preserve">•  Every day is planned at 420 mins (7 hrs) of content, matching the Day 1 draft. Breaks are not included.</t>
  </si>
  <si>
    <t xml:space="preserve">Inputs needed before delivery</t>
  </si>
  <si>
    <t xml:space="preserve">Update the Status column (dropdown: Open, Requested, Received) as items come in.</t>
  </si>
  <si>
    <t xml:space="preserve">#</t>
  </si>
  <si>
    <t xml:space="preserve">Item</t>
  </si>
  <si>
    <t xml:space="preserve">Needed for</t>
  </si>
  <si>
    <t xml:space="preserve">What's needed</t>
  </si>
  <si>
    <t xml:space="preserve">Owner</t>
  </si>
  <si>
    <t xml:space="preserve">Status</t>
  </si>
  <si>
    <t xml:space="preserve">Trainee tool access</t>
  </si>
  <si>
    <t xml:space="preserve">Before Day 3</t>
  </si>
  <si>
    <t xml:space="preserve">Sonar, Splunk, Proofpoint, Heimdall, Radar, Slack and YubiKey/MFA access in place for the hands-on sessions</t>
  </si>
  <si>
    <t xml:space="preserve">Ops</t>
  </si>
  <si>
    <t xml:space="preserve">Open</t>
  </si>
  <si>
    <t xml:space="preserve">Test iCloud accounts</t>
  </si>
  <si>
    <t xml:space="preserve">Day 1</t>
  </si>
  <si>
    <t xml:space="preserve">iCloud accounts (with iCloud+) and device or webmail access for the Day 1 hands-on</t>
  </si>
  <si>
    <t xml:space="preserve">Apple ecosystem, T&amp;S intro, GDPR and privacy incidents</t>
  </si>
  <si>
    <t xml:space="preserve">Content for the parts of the mission and privacy modules that the Module 1 guide doesn't cover</t>
  </si>
  <si>
    <t xml:space="preserve">SME</t>
  </si>
  <si>
    <t xml:space="preserve">URL/SUP</t>
  </si>
  <si>
    <t xml:space="preserve">Day 2</t>
  </si>
  <si>
    <t xml:space="preserve">What URL/SUP is, its sub-topics, modality, duration and sample requests</t>
  </si>
  <si>
    <t xml:space="preserve">Heimdall UI, naming convention and rule writing</t>
  </si>
  <si>
    <t xml:space="preserve">Content and a demo login for the Heimdall overview and walkthrough</t>
  </si>
  <si>
    <t xml:space="preserve">Sanitised email header samples</t>
  </si>
  <si>
    <t xml:space="preserve">Days 2, 4, 10</t>
  </si>
  <si>
    <t xml:space="preserve">Privacy-safe real headers covering passes, fails, spoofing, forwarding (ARC) and HME relay</t>
  </si>
  <si>
    <t xml:space="preserve">Splunk indexes and starter queries</t>
  </si>
  <si>
    <t xml:space="preserve">Day 3</t>
  </si>
  <si>
    <t xml:space="preserve">Index list and a query library for the Splunk module and hands-on</t>
  </si>
  <si>
    <t xml:space="preserve">Sonar walkthrough and sample cases</t>
  </si>
  <si>
    <t xml:space="preserve">UI walkthrough and a sandbox or sample cases</t>
  </si>
  <si>
    <t xml:space="preserve">Bazooka and Gattler</t>
  </si>
  <si>
    <t xml:space="preserve">What each tool does, plus a demo</t>
  </si>
  <si>
    <t xml:space="preserve">Khiron and iHawk</t>
  </si>
  <si>
    <t xml:space="preserve">Day 4</t>
  </si>
  <si>
    <t xml:space="preserve">What each tool does and when analysts use it</t>
  </si>
  <si>
    <t xml:space="preserve">Inbound and outbound tracing samples</t>
  </si>
  <si>
    <t xml:space="preserve">Day 5</t>
  </si>
  <si>
    <t xml:space="preserve">Sample messages with known verdicts for the tracing exercises</t>
  </si>
  <si>
    <t xml:space="preserve">Bad forward, HME + bad forward, login alias, Apple ID abuse</t>
  </si>
  <si>
    <t xml:space="preserve">Day 6</t>
  </si>
  <si>
    <t xml:space="preserve">Definitions, signals and examples (bad forward is not in the Module 1 guide)</t>
  </si>
  <si>
    <t xml:space="preserve">Account types and actions SOP</t>
  </si>
  <si>
    <t xml:space="preserve">Day 7</t>
  </si>
  <si>
    <t xml:space="preserve">Action types per account type, fraud vs compromise SOPs, and how Reviewed/Actioned is recorded</t>
  </si>
  <si>
    <t xml:space="preserve">Sample accounts</t>
  </si>
  <si>
    <t xml:space="preserve">Days 7, 8, 10</t>
  </si>
  <si>
    <t xml:space="preserve">Enough sample accounts for about one day of practice (Days 7-8) plus the Week 2 assessment</t>
  </si>
  <si>
    <t xml:space="preserve">Postmaster reply templates and sample cases</t>
  </si>
  <si>
    <t xml:space="preserve">Days 9, 10</t>
  </si>
  <si>
    <t xml:space="preserve">Approved sender reply templates and sample sender requests</t>
  </si>
  <si>
    <t xml:space="preserve">Campaign SOP and sample data</t>
  </si>
  <si>
    <t xml:space="preserve">Day 11</t>
  </si>
  <si>
    <t xml:space="preserve">How campaigns are identified and actioned, plus a sample dataset</t>
  </si>
  <si>
    <t xml:space="preserve">Outbound case set</t>
  </si>
  <si>
    <t xml:space="preserve">Days 12, 13</t>
  </si>
  <si>
    <t xml:space="preserve">Sample outbound cases for two days of practice</t>
  </si>
  <si>
    <t xml:space="preserve">Senior analysts</t>
  </si>
  <si>
    <t xml:space="preserve">Day 13</t>
  </si>
  <si>
    <t xml:space="preserve">Analysts for the proactive-hunt shadowing and the rule review</t>
  </si>
  <si>
    <t xml:space="preserve">Nesting queue and QA reviewers</t>
  </si>
  <si>
    <t xml:space="preserve">Day 14</t>
  </si>
  <si>
    <t xml:space="preserve">Live or mirrored queue access and QA reviewers</t>
  </si>
  <si>
    <t xml:space="preserve">Pass marks</t>
  </si>
  <si>
    <t xml:space="preserve">Days 6, 10, 15</t>
  </si>
  <si>
    <t xml:space="preserve">Pass marks for the knowledge check, the practical assessment and the final certification</t>
  </si>
  <si>
    <t xml:space="preserve">Module 2: Spam and phishing deep dive</t>
  </si>
  <si>
    <t xml:space="preserve">Days 6, 9</t>
  </si>
  <si>
    <t xml:space="preserve">The guide's course map lists Module 2 as available; only Module 1 has been shared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</si>
</sst>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0.0"/>
    <numFmt numFmtId="167" formatCode="0%"/>
    <numFmt numFmtId="168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3A5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F3A5F"/>
      <name val="Arial"/>
      <family val="0"/>
      <charset val="1"/>
    </font>
    <font>
      <b val="true"/>
      <sz val="13"/>
      <color rgb="FF1F3A5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7A4A00"/>
      <name val="Arial"/>
      <family val="0"/>
      <charset val="1"/>
    </font>
    <font>
      <sz val="10"/>
      <color rgb="FF006100"/>
      <name val="Arial"/>
      <family val="0"/>
      <charset val="1"/>
    </font>
    <font>
      <sz val="10"/>
      <color rgb="FF4B2E83"/>
      <name val="Arial"/>
      <family val="0"/>
      <charset val="1"/>
    </font>
    <font>
      <sz val="10"/>
      <color rgb="FF1F4E79"/>
      <name val="Arial"/>
      <family val="0"/>
      <charset val="1"/>
    </font>
    <font>
      <sz val="10"/>
      <color rgb="FF9C0006"/>
      <name val="Arial"/>
      <family val="0"/>
      <charset val="1"/>
    </font>
    <font>
      <b val="true"/>
      <sz val="12"/>
      <color rgb="FF1F3A5F"/>
      <name val="Arial"/>
      <family val="0"/>
      <charset val="1"/>
    </font>
  </fonts>
  <fills count="17">
    <fill>
      <patternFill patternType="none"/>
    </fill>
    <fill>
      <patternFill patternType="gray125"/>
    </fill>
    <fill>
      <patternFill patternType="solid">
        <fgColor rgb="FF1F3A5F"/>
        <bgColor rgb="FF1F4E79"/>
      </patternFill>
    </fill>
    <fill>
      <patternFill patternType="solid">
        <fgColor rgb="FFD9E2F3"/>
        <bgColor rgb="FFDCEBF7"/>
      </patternFill>
    </fill>
    <fill>
      <patternFill patternType="solid">
        <fgColor rgb="FFFFFFFF"/>
        <bgColor rgb="FFF5F7FA"/>
      </patternFill>
    </fill>
    <fill>
      <patternFill patternType="solid">
        <fgColor rgb="FFDCEBF7"/>
        <bgColor rgb="FFDDEBF7"/>
      </patternFill>
    </fill>
    <fill>
      <patternFill patternType="solid">
        <fgColor rgb="FFFFEB9C"/>
        <bgColor rgb="FFFFF2CC"/>
      </patternFill>
    </fill>
    <fill>
      <patternFill patternType="solid">
        <fgColor rgb="FFC6EFCE"/>
        <bgColor rgb="FFE2F0D9"/>
      </patternFill>
    </fill>
    <fill>
      <patternFill patternType="solid">
        <fgColor rgb="FFE2F0D9"/>
        <bgColor rgb="FFDDEBF7"/>
      </patternFill>
    </fill>
    <fill>
      <patternFill patternType="solid">
        <fgColor rgb="FFEDE7F6"/>
        <bgColor rgb="FFE8E0F5"/>
      </patternFill>
    </fill>
    <fill>
      <patternFill patternType="solid">
        <fgColor rgb="FFDDEBF7"/>
        <bgColor rgb="FFDCEBF7"/>
      </patternFill>
    </fill>
    <fill>
      <patternFill patternType="solid">
        <fgColor rgb="FFF5F7FA"/>
        <bgColor rgb="FFFFFFFF"/>
      </patternFill>
    </fill>
    <fill>
      <patternFill patternType="solid">
        <fgColor rgb="FFE8E0F5"/>
        <bgColor rgb="FFEDE7F6"/>
      </patternFill>
    </fill>
    <fill>
      <patternFill patternType="solid">
        <fgColor rgb="FFFDEBD3"/>
        <bgColor rgb="FFFFF2CC"/>
      </patternFill>
    </fill>
    <fill>
      <patternFill patternType="solid">
        <fgColor rgb="FFFFC7CE"/>
        <bgColor rgb="FFF8D7DA"/>
      </patternFill>
    </fill>
    <fill>
      <patternFill patternType="solid">
        <fgColor rgb="FFF8D7DA"/>
        <bgColor rgb="FFFFC7CE"/>
      </patternFill>
    </fill>
    <fill>
      <patternFill patternType="solid">
        <fgColor rgb="FFFFF2CC"/>
        <bgColor rgb="FFFDEBD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1DC"/>
      </left>
      <right style="thin">
        <color rgb="FFC9D1DC"/>
      </right>
      <top style="thin">
        <color rgb="FFC9D1DC"/>
      </top>
      <bottom style="thin">
        <color rgb="FFC9D1D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10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3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11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1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1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5" fillId="1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1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11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10" fillId="11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1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1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1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1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DEBD3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D9E2F3"/>
      <rgbColor rgb="FF808080"/>
      <rgbColor rgb="FFF5F7FA"/>
      <rgbColor rgb="FF993366"/>
      <rgbColor rgb="FFFFF2CC"/>
      <rgbColor rgb="FFDCEBF7"/>
      <rgbColor rgb="FF660066"/>
      <rgbColor rgb="FFFF8080"/>
      <rgbColor rgb="FF0066CC"/>
      <rgbColor rgb="FFC9D1DC"/>
      <rgbColor rgb="FF000080"/>
      <rgbColor rgb="FFFF00FF"/>
      <rgbColor rgb="FFE2F0D9"/>
      <rgbColor rgb="FF00FFFF"/>
      <rgbColor rgb="FF800080"/>
      <rgbColor rgb="FF800000"/>
      <rgbColor rgb="FF008080"/>
      <rgbColor rgb="FF0000FF"/>
      <rgbColor rgb="FF00CCFF"/>
      <rgbColor rgb="FFDDEBF7"/>
      <rgbColor rgb="FFC6EFCE"/>
      <rgbColor rgb="FFFFEB9C"/>
      <rgbColor rgb="FFE8E0F5"/>
      <rgbColor rgb="FFF8D7DA"/>
      <rgbColor rgb="FFEDE7F6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A5F"/>
      <rgbColor rgb="FF339966"/>
      <rgbColor rgb="FF003300"/>
      <rgbColor rgb="FF333300"/>
      <rgbColor rgb="FF7A4A00"/>
      <rgbColor rgb="FF993366"/>
      <rgbColor rgb="FF4B2E83"/>
      <rgbColor rgb="FF1F4E7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9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2"/>
    <col collapsed="false" customWidth="true" hidden="false" outlineLevel="0" max="3" min="3" style="0" width="46"/>
    <col collapsed="false" customWidth="true" hidden="false" outlineLevel="0" max="4" min="4" style="0" width="44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40"/>
    <col collapsed="false" customWidth="true" hidden="false" outlineLevel="0" max="8" min="8" style="0" width="20"/>
    <col collapsed="false" customWidth="true" hidden="false" outlineLevel="0" max="9" min="9" style="0" width="22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21.75" hidden="false" customHeight="true" outlineLevel="0" collapsed="false">
      <c r="A5" s="4" t="s">
        <v>11</v>
      </c>
      <c r="B5" s="4"/>
      <c r="C5" s="4"/>
      <c r="D5" s="4"/>
      <c r="E5" s="4"/>
      <c r="F5" s="4"/>
      <c r="G5" s="4"/>
      <c r="H5" s="4"/>
      <c r="I5" s="4"/>
    </row>
    <row r="6" customFormat="false" ht="45" hidden="false" customHeight="true" outlineLevel="0" collapsed="false">
      <c r="A6" s="5" t="n">
        <v>1</v>
      </c>
      <c r="B6" s="6" t="s">
        <v>12</v>
      </c>
      <c r="C6" s="7" t="s">
        <v>13</v>
      </c>
      <c r="D6" s="7" t="s">
        <v>14</v>
      </c>
      <c r="E6" s="8" t="s">
        <v>15</v>
      </c>
      <c r="F6" s="9" t="n">
        <v>75</v>
      </c>
      <c r="G6" s="7" t="s">
        <v>16</v>
      </c>
      <c r="H6" s="7" t="s">
        <v>17</v>
      </c>
      <c r="I6" s="10" t="s">
        <v>18</v>
      </c>
    </row>
    <row r="7" customFormat="false" ht="57.75" hidden="false" customHeight="true" outlineLevel="0" collapsed="false">
      <c r="A7" s="5"/>
      <c r="B7" s="6" t="s">
        <v>19</v>
      </c>
      <c r="C7" s="7" t="s">
        <v>20</v>
      </c>
      <c r="D7" s="7" t="s">
        <v>21</v>
      </c>
      <c r="E7" s="8" t="s">
        <v>15</v>
      </c>
      <c r="F7" s="9" t="n">
        <v>45</v>
      </c>
      <c r="G7" s="7"/>
      <c r="H7" s="7" t="s">
        <v>22</v>
      </c>
      <c r="I7" s="10" t="s">
        <v>18</v>
      </c>
    </row>
    <row r="8" customFormat="false" ht="57.75" hidden="false" customHeight="true" outlineLevel="0" collapsed="false">
      <c r="A8" s="5"/>
      <c r="B8" s="6" t="s">
        <v>23</v>
      </c>
      <c r="C8" s="7" t="s">
        <v>24</v>
      </c>
      <c r="D8" s="7" t="s">
        <v>25</v>
      </c>
      <c r="E8" s="8" t="s">
        <v>15</v>
      </c>
      <c r="F8" s="9" t="n">
        <v>75</v>
      </c>
      <c r="G8" s="7" t="s">
        <v>16</v>
      </c>
      <c r="H8" s="7" t="s">
        <v>26</v>
      </c>
      <c r="I8" s="11" t="s">
        <v>27</v>
      </c>
    </row>
    <row r="9" customFormat="false" ht="57.75" hidden="false" customHeight="true" outlineLevel="0" collapsed="false">
      <c r="A9" s="5"/>
      <c r="B9" s="6" t="s">
        <v>28</v>
      </c>
      <c r="C9" s="7" t="s">
        <v>29</v>
      </c>
      <c r="D9" s="7" t="s">
        <v>30</v>
      </c>
      <c r="E9" s="8" t="s">
        <v>15</v>
      </c>
      <c r="F9" s="9" t="n">
        <v>60</v>
      </c>
      <c r="G9" s="7" t="s">
        <v>31</v>
      </c>
      <c r="H9" s="7" t="s">
        <v>32</v>
      </c>
      <c r="I9" s="11" t="s">
        <v>27</v>
      </c>
    </row>
    <row r="10" customFormat="false" ht="57.75" hidden="false" customHeight="true" outlineLevel="0" collapsed="false">
      <c r="A10" s="5"/>
      <c r="B10" s="6" t="s">
        <v>33</v>
      </c>
      <c r="C10" s="7" t="s">
        <v>34</v>
      </c>
      <c r="D10" s="7" t="s">
        <v>35</v>
      </c>
      <c r="E10" s="12" t="s">
        <v>36</v>
      </c>
      <c r="F10" s="9" t="n">
        <v>120</v>
      </c>
      <c r="G10" s="7"/>
      <c r="H10" s="7" t="s">
        <v>37</v>
      </c>
      <c r="I10" s="13" t="s">
        <v>38</v>
      </c>
    </row>
    <row r="11" customFormat="false" ht="45" hidden="false" customHeight="true" outlineLevel="0" collapsed="false">
      <c r="A11" s="5"/>
      <c r="B11" s="6" t="s">
        <v>39</v>
      </c>
      <c r="C11" s="7" t="s">
        <v>40</v>
      </c>
      <c r="D11" s="7" t="s">
        <v>41</v>
      </c>
      <c r="E11" s="12" t="s">
        <v>36</v>
      </c>
      <c r="F11" s="9" t="n">
        <v>45</v>
      </c>
      <c r="G11" s="7"/>
      <c r="H11" s="7"/>
      <c r="I11" s="14" t="s">
        <v>42</v>
      </c>
    </row>
    <row r="12" customFormat="false" ht="31.5" hidden="false" customHeight="true" outlineLevel="0" collapsed="false">
      <c r="A12" s="15" t="n">
        <v>2</v>
      </c>
      <c r="B12" s="16" t="s">
        <v>43</v>
      </c>
      <c r="C12" s="17" t="s">
        <v>44</v>
      </c>
      <c r="D12" s="17" t="s">
        <v>45</v>
      </c>
      <c r="E12" s="12" t="s">
        <v>36</v>
      </c>
      <c r="F12" s="18" t="n">
        <v>45</v>
      </c>
      <c r="G12" s="17"/>
      <c r="H12" s="17"/>
      <c r="I12" s="14" t="s">
        <v>42</v>
      </c>
    </row>
    <row r="13" customFormat="false" ht="57.75" hidden="false" customHeight="true" outlineLevel="0" collapsed="false">
      <c r="A13" s="15"/>
      <c r="B13" s="16" t="s">
        <v>46</v>
      </c>
      <c r="C13" s="17" t="s">
        <v>47</v>
      </c>
      <c r="D13" s="17" t="s">
        <v>48</v>
      </c>
      <c r="E13" s="19" t="s">
        <v>49</v>
      </c>
      <c r="F13" s="18" t="n">
        <v>90</v>
      </c>
      <c r="G13" s="17" t="s">
        <v>50</v>
      </c>
      <c r="H13" s="17" t="s">
        <v>51</v>
      </c>
      <c r="I13" s="11" t="s">
        <v>27</v>
      </c>
    </row>
    <row r="14" customFormat="false" ht="57.75" hidden="false" customHeight="true" outlineLevel="0" collapsed="false">
      <c r="A14" s="15"/>
      <c r="B14" s="16" t="s">
        <v>52</v>
      </c>
      <c r="C14" s="17" t="s">
        <v>53</v>
      </c>
      <c r="D14" s="17" t="s">
        <v>54</v>
      </c>
      <c r="E14" s="8" t="s">
        <v>15</v>
      </c>
      <c r="F14" s="18" t="n">
        <v>60</v>
      </c>
      <c r="G14" s="17"/>
      <c r="H14" s="17" t="s">
        <v>55</v>
      </c>
      <c r="I14" s="10" t="s">
        <v>18</v>
      </c>
    </row>
    <row r="15" customFormat="false" ht="45" hidden="false" customHeight="true" outlineLevel="0" collapsed="false">
      <c r="A15" s="15"/>
      <c r="B15" s="16" t="s">
        <v>56</v>
      </c>
      <c r="C15" s="17" t="s">
        <v>57</v>
      </c>
      <c r="D15" s="17" t="s">
        <v>58</v>
      </c>
      <c r="E15" s="20" t="s">
        <v>59</v>
      </c>
      <c r="F15" s="18" t="n">
        <v>60</v>
      </c>
      <c r="G15" s="17"/>
      <c r="H15" s="17"/>
      <c r="I15" s="21" t="s">
        <v>60</v>
      </c>
    </row>
    <row r="16" customFormat="false" ht="45" hidden="false" customHeight="true" outlineLevel="0" collapsed="false">
      <c r="A16" s="15"/>
      <c r="B16" s="16" t="s">
        <v>61</v>
      </c>
      <c r="C16" s="17" t="s">
        <v>62</v>
      </c>
      <c r="D16" s="17" t="s">
        <v>63</v>
      </c>
      <c r="E16" s="20" t="s">
        <v>59</v>
      </c>
      <c r="F16" s="18" t="n">
        <v>60</v>
      </c>
      <c r="G16" s="17" t="s">
        <v>64</v>
      </c>
      <c r="H16" s="17"/>
      <c r="I16" s="21" t="s">
        <v>60</v>
      </c>
    </row>
    <row r="17" customFormat="false" ht="31.5" hidden="false" customHeight="true" outlineLevel="0" collapsed="false">
      <c r="A17" s="15"/>
      <c r="B17" s="16" t="s">
        <v>65</v>
      </c>
      <c r="C17" s="17" t="s">
        <v>66</v>
      </c>
      <c r="D17" s="17" t="s">
        <v>67</v>
      </c>
      <c r="E17" s="12" t="s">
        <v>36</v>
      </c>
      <c r="F17" s="18" t="n">
        <v>60</v>
      </c>
      <c r="G17" s="17" t="s">
        <v>68</v>
      </c>
      <c r="H17" s="17"/>
      <c r="I17" s="21" t="s">
        <v>60</v>
      </c>
    </row>
    <row r="18" customFormat="false" ht="45" hidden="false" customHeight="true" outlineLevel="0" collapsed="false">
      <c r="A18" s="15"/>
      <c r="B18" s="16" t="s">
        <v>39</v>
      </c>
      <c r="C18" s="17" t="s">
        <v>40</v>
      </c>
      <c r="D18" s="17" t="s">
        <v>41</v>
      </c>
      <c r="E18" s="12" t="s">
        <v>36</v>
      </c>
      <c r="F18" s="18" t="n">
        <v>45</v>
      </c>
      <c r="G18" s="17"/>
      <c r="H18" s="17"/>
      <c r="I18" s="14" t="s">
        <v>42</v>
      </c>
    </row>
    <row r="19" customFormat="false" ht="31.5" hidden="false" customHeight="true" outlineLevel="0" collapsed="false">
      <c r="A19" s="5" t="n">
        <v>3</v>
      </c>
      <c r="B19" s="6" t="s">
        <v>69</v>
      </c>
      <c r="C19" s="7" t="s">
        <v>70</v>
      </c>
      <c r="D19" s="7" t="s">
        <v>71</v>
      </c>
      <c r="E19" s="12" t="s">
        <v>36</v>
      </c>
      <c r="F19" s="9" t="n">
        <v>45</v>
      </c>
      <c r="G19" s="7"/>
      <c r="H19" s="7"/>
      <c r="I19" s="14" t="s">
        <v>42</v>
      </c>
    </row>
    <row r="20" customFormat="false" ht="57.75" hidden="false" customHeight="true" outlineLevel="0" collapsed="false">
      <c r="A20" s="5"/>
      <c r="B20" s="6" t="s">
        <v>72</v>
      </c>
      <c r="C20" s="7" t="s">
        <v>73</v>
      </c>
      <c r="D20" s="7" t="s">
        <v>74</v>
      </c>
      <c r="E20" s="19" t="s">
        <v>49</v>
      </c>
      <c r="F20" s="9" t="n">
        <v>90</v>
      </c>
      <c r="G20" s="7" t="s">
        <v>50</v>
      </c>
      <c r="H20" s="7" t="s">
        <v>75</v>
      </c>
      <c r="I20" s="21" t="s">
        <v>60</v>
      </c>
    </row>
    <row r="21" customFormat="false" ht="31.5" hidden="false" customHeight="true" outlineLevel="0" collapsed="false">
      <c r="A21" s="5"/>
      <c r="B21" s="6" t="s">
        <v>76</v>
      </c>
      <c r="C21" s="7" t="s">
        <v>77</v>
      </c>
      <c r="D21" s="7" t="s">
        <v>78</v>
      </c>
      <c r="E21" s="12" t="s">
        <v>36</v>
      </c>
      <c r="F21" s="9" t="n">
        <v>30</v>
      </c>
      <c r="G21" s="7"/>
      <c r="H21" s="7"/>
      <c r="I21" s="21" t="s">
        <v>60</v>
      </c>
    </row>
    <row r="22" customFormat="false" ht="45" hidden="false" customHeight="true" outlineLevel="0" collapsed="false">
      <c r="A22" s="5"/>
      <c r="B22" s="6" t="s">
        <v>79</v>
      </c>
      <c r="C22" s="7" t="s">
        <v>80</v>
      </c>
      <c r="D22" s="7" t="s">
        <v>81</v>
      </c>
      <c r="E22" s="8" t="s">
        <v>15</v>
      </c>
      <c r="F22" s="9" t="n">
        <v>60</v>
      </c>
      <c r="G22" s="7" t="s">
        <v>31</v>
      </c>
      <c r="H22" s="7" t="s">
        <v>82</v>
      </c>
      <c r="I22" s="10" t="s">
        <v>18</v>
      </c>
    </row>
    <row r="23" customFormat="false" ht="45" hidden="false" customHeight="true" outlineLevel="0" collapsed="false">
      <c r="A23" s="5"/>
      <c r="B23" s="6" t="s">
        <v>83</v>
      </c>
      <c r="C23" s="7" t="s">
        <v>84</v>
      </c>
      <c r="D23" s="7" t="s">
        <v>85</v>
      </c>
      <c r="E23" s="12" t="s">
        <v>36</v>
      </c>
      <c r="F23" s="9" t="n">
        <v>60</v>
      </c>
      <c r="G23" s="7"/>
      <c r="H23" s="7" t="s">
        <v>86</v>
      </c>
      <c r="I23" s="13" t="s">
        <v>38</v>
      </c>
    </row>
    <row r="24" customFormat="false" ht="57.75" hidden="false" customHeight="true" outlineLevel="0" collapsed="false">
      <c r="A24" s="5"/>
      <c r="B24" s="6" t="s">
        <v>87</v>
      </c>
      <c r="C24" s="7" t="s">
        <v>88</v>
      </c>
      <c r="D24" s="7" t="s">
        <v>89</v>
      </c>
      <c r="E24" s="19" t="s">
        <v>49</v>
      </c>
      <c r="F24" s="9" t="n">
        <v>90</v>
      </c>
      <c r="G24" s="7" t="s">
        <v>50</v>
      </c>
      <c r="H24" s="7" t="s">
        <v>90</v>
      </c>
      <c r="I24" s="10" t="s">
        <v>18</v>
      </c>
    </row>
    <row r="25" customFormat="false" ht="45" hidden="false" customHeight="true" outlineLevel="0" collapsed="false">
      <c r="A25" s="5"/>
      <c r="B25" s="6" t="s">
        <v>39</v>
      </c>
      <c r="C25" s="7" t="s">
        <v>40</v>
      </c>
      <c r="D25" s="7" t="s">
        <v>41</v>
      </c>
      <c r="E25" s="12" t="s">
        <v>36</v>
      </c>
      <c r="F25" s="9" t="n">
        <v>45</v>
      </c>
      <c r="G25" s="7"/>
      <c r="H25" s="7"/>
      <c r="I25" s="14" t="s">
        <v>42</v>
      </c>
    </row>
    <row r="26" customFormat="false" ht="31.5" hidden="false" customHeight="true" outlineLevel="0" collapsed="false">
      <c r="A26" s="15" t="n">
        <v>4</v>
      </c>
      <c r="B26" s="16" t="s">
        <v>91</v>
      </c>
      <c r="C26" s="17" t="s">
        <v>92</v>
      </c>
      <c r="D26" s="17" t="s">
        <v>93</v>
      </c>
      <c r="E26" s="12" t="s">
        <v>36</v>
      </c>
      <c r="F26" s="18" t="n">
        <v>45</v>
      </c>
      <c r="G26" s="17"/>
      <c r="H26" s="17"/>
      <c r="I26" s="14" t="s">
        <v>42</v>
      </c>
    </row>
    <row r="27" customFormat="false" ht="45" hidden="false" customHeight="true" outlineLevel="0" collapsed="false">
      <c r="A27" s="15"/>
      <c r="B27" s="16" t="s">
        <v>94</v>
      </c>
      <c r="C27" s="17" t="s">
        <v>95</v>
      </c>
      <c r="D27" s="17" t="s">
        <v>96</v>
      </c>
      <c r="E27" s="8" t="s">
        <v>15</v>
      </c>
      <c r="F27" s="18" t="n">
        <v>45</v>
      </c>
      <c r="G27" s="17" t="s">
        <v>97</v>
      </c>
      <c r="H27" s="17" t="s">
        <v>98</v>
      </c>
      <c r="I27" s="10" t="s">
        <v>18</v>
      </c>
    </row>
    <row r="28" customFormat="false" ht="70.5" hidden="false" customHeight="true" outlineLevel="0" collapsed="false">
      <c r="A28" s="15"/>
      <c r="B28" s="16" t="s">
        <v>99</v>
      </c>
      <c r="C28" s="17" t="s">
        <v>100</v>
      </c>
      <c r="D28" s="17" t="s">
        <v>101</v>
      </c>
      <c r="E28" s="8" t="s">
        <v>15</v>
      </c>
      <c r="F28" s="18" t="n">
        <v>45</v>
      </c>
      <c r="G28" s="17" t="s">
        <v>102</v>
      </c>
      <c r="H28" s="17"/>
      <c r="I28" s="21" t="s">
        <v>60</v>
      </c>
    </row>
    <row r="29" customFormat="false" ht="31.5" hidden="false" customHeight="true" outlineLevel="0" collapsed="false">
      <c r="A29" s="15"/>
      <c r="B29" s="16" t="s">
        <v>103</v>
      </c>
      <c r="C29" s="17" t="s">
        <v>104</v>
      </c>
      <c r="D29" s="17" t="s">
        <v>105</v>
      </c>
      <c r="E29" s="12" t="s">
        <v>36</v>
      </c>
      <c r="F29" s="18" t="n">
        <v>60</v>
      </c>
      <c r="G29" s="17"/>
      <c r="H29" s="17" t="s">
        <v>98</v>
      </c>
      <c r="I29" s="14" t="s">
        <v>42</v>
      </c>
    </row>
    <row r="30" customFormat="false" ht="84" hidden="false" customHeight="true" outlineLevel="0" collapsed="false">
      <c r="A30" s="15"/>
      <c r="B30" s="16" t="s">
        <v>106</v>
      </c>
      <c r="C30" s="17" t="s">
        <v>107</v>
      </c>
      <c r="D30" s="17" t="s">
        <v>108</v>
      </c>
      <c r="E30" s="19" t="s">
        <v>49</v>
      </c>
      <c r="F30" s="18" t="n">
        <v>90</v>
      </c>
      <c r="G30" s="17" t="s">
        <v>50</v>
      </c>
      <c r="H30" s="17" t="s">
        <v>109</v>
      </c>
      <c r="I30" s="11" t="s">
        <v>27</v>
      </c>
    </row>
    <row r="31" customFormat="false" ht="57.75" hidden="false" customHeight="true" outlineLevel="0" collapsed="false">
      <c r="A31" s="15"/>
      <c r="B31" s="16" t="s">
        <v>110</v>
      </c>
      <c r="C31" s="17" t="s">
        <v>111</v>
      </c>
      <c r="D31" s="17" t="s">
        <v>112</v>
      </c>
      <c r="E31" s="12" t="s">
        <v>36</v>
      </c>
      <c r="F31" s="18" t="n">
        <v>90</v>
      </c>
      <c r="G31" s="17" t="s">
        <v>113</v>
      </c>
      <c r="H31" s="17" t="s">
        <v>114</v>
      </c>
      <c r="I31" s="21" t="s">
        <v>60</v>
      </c>
    </row>
    <row r="32" customFormat="false" ht="45" hidden="false" customHeight="true" outlineLevel="0" collapsed="false">
      <c r="A32" s="15"/>
      <c r="B32" s="16" t="s">
        <v>39</v>
      </c>
      <c r="C32" s="17" t="s">
        <v>40</v>
      </c>
      <c r="D32" s="17" t="s">
        <v>41</v>
      </c>
      <c r="E32" s="12" t="s">
        <v>36</v>
      </c>
      <c r="F32" s="18" t="n">
        <v>45</v>
      </c>
      <c r="G32" s="17"/>
      <c r="H32" s="17"/>
      <c r="I32" s="14" t="s">
        <v>42</v>
      </c>
    </row>
    <row r="33" customFormat="false" ht="31.5" hidden="false" customHeight="true" outlineLevel="0" collapsed="false">
      <c r="A33" s="5" t="n">
        <v>5</v>
      </c>
      <c r="B33" s="6" t="s">
        <v>115</v>
      </c>
      <c r="C33" s="7" t="s">
        <v>116</v>
      </c>
      <c r="D33" s="7" t="s">
        <v>117</v>
      </c>
      <c r="E33" s="12" t="s">
        <v>36</v>
      </c>
      <c r="F33" s="9" t="n">
        <v>45</v>
      </c>
      <c r="G33" s="7"/>
      <c r="H33" s="7"/>
      <c r="I33" s="14" t="s">
        <v>42</v>
      </c>
    </row>
    <row r="34" customFormat="false" ht="70.5" hidden="false" customHeight="true" outlineLevel="0" collapsed="false">
      <c r="A34" s="5"/>
      <c r="B34" s="6" t="s">
        <v>118</v>
      </c>
      <c r="C34" s="7" t="s">
        <v>119</v>
      </c>
      <c r="D34" s="7" t="s">
        <v>120</v>
      </c>
      <c r="E34" s="19" t="s">
        <v>49</v>
      </c>
      <c r="F34" s="9" t="n">
        <v>90</v>
      </c>
      <c r="G34" s="7" t="s">
        <v>50</v>
      </c>
      <c r="H34" s="7" t="s">
        <v>121</v>
      </c>
      <c r="I34" s="11" t="s">
        <v>27</v>
      </c>
    </row>
    <row r="35" customFormat="false" ht="45" hidden="false" customHeight="true" outlineLevel="0" collapsed="false">
      <c r="A35" s="5"/>
      <c r="B35" s="6" t="s">
        <v>122</v>
      </c>
      <c r="C35" s="7" t="s">
        <v>123</v>
      </c>
      <c r="D35" s="7" t="s">
        <v>124</v>
      </c>
      <c r="E35" s="12" t="s">
        <v>36</v>
      </c>
      <c r="F35" s="9" t="n">
        <v>75</v>
      </c>
      <c r="G35" s="7"/>
      <c r="H35" s="7" t="s">
        <v>125</v>
      </c>
      <c r="I35" s="21" t="s">
        <v>60</v>
      </c>
    </row>
    <row r="36" customFormat="false" ht="70.5" hidden="false" customHeight="true" outlineLevel="0" collapsed="false">
      <c r="A36" s="5"/>
      <c r="B36" s="6" t="s">
        <v>126</v>
      </c>
      <c r="C36" s="7" t="s">
        <v>127</v>
      </c>
      <c r="D36" s="7" t="s">
        <v>128</v>
      </c>
      <c r="E36" s="19" t="s">
        <v>49</v>
      </c>
      <c r="F36" s="9" t="n">
        <v>90</v>
      </c>
      <c r="G36" s="7" t="s">
        <v>50</v>
      </c>
      <c r="H36" s="7" t="s">
        <v>129</v>
      </c>
      <c r="I36" s="11" t="s">
        <v>27</v>
      </c>
    </row>
    <row r="37" customFormat="false" ht="45" hidden="false" customHeight="true" outlineLevel="0" collapsed="false">
      <c r="A37" s="5"/>
      <c r="B37" s="6" t="s">
        <v>130</v>
      </c>
      <c r="C37" s="7" t="s">
        <v>131</v>
      </c>
      <c r="D37" s="7" t="s">
        <v>132</v>
      </c>
      <c r="E37" s="12" t="s">
        <v>36</v>
      </c>
      <c r="F37" s="9" t="n">
        <v>75</v>
      </c>
      <c r="G37" s="7"/>
      <c r="H37" s="7" t="s">
        <v>133</v>
      </c>
      <c r="I37" s="21" t="s">
        <v>60</v>
      </c>
    </row>
    <row r="38" customFormat="false" ht="45" hidden="false" customHeight="true" outlineLevel="0" collapsed="false">
      <c r="A38" s="5"/>
      <c r="B38" s="6" t="s">
        <v>39</v>
      </c>
      <c r="C38" s="7" t="s">
        <v>40</v>
      </c>
      <c r="D38" s="7" t="s">
        <v>41</v>
      </c>
      <c r="E38" s="12" t="s">
        <v>36</v>
      </c>
      <c r="F38" s="9" t="n">
        <v>45</v>
      </c>
      <c r="G38" s="7"/>
      <c r="H38" s="7"/>
      <c r="I38" s="14" t="s">
        <v>42</v>
      </c>
    </row>
    <row r="39" customFormat="false" ht="21.75" hidden="false" customHeight="true" outlineLevel="0" collapsed="false">
      <c r="A39" s="4" t="s">
        <v>134</v>
      </c>
      <c r="B39" s="4"/>
      <c r="C39" s="4"/>
      <c r="D39" s="4"/>
      <c r="E39" s="4"/>
      <c r="F39" s="4"/>
      <c r="G39" s="4"/>
      <c r="H39" s="4"/>
      <c r="I39" s="4"/>
    </row>
    <row r="40" customFormat="false" ht="45" hidden="false" customHeight="true" outlineLevel="0" collapsed="false">
      <c r="A40" s="15" t="n">
        <v>6</v>
      </c>
      <c r="B40" s="16" t="s">
        <v>135</v>
      </c>
      <c r="C40" s="17" t="s">
        <v>136</v>
      </c>
      <c r="D40" s="17" t="s">
        <v>137</v>
      </c>
      <c r="E40" s="22" t="s">
        <v>138</v>
      </c>
      <c r="F40" s="18" t="n">
        <v>60</v>
      </c>
      <c r="G40" s="17" t="s">
        <v>139</v>
      </c>
      <c r="H40" s="17" t="s">
        <v>140</v>
      </c>
      <c r="I40" s="14" t="s">
        <v>42</v>
      </c>
    </row>
    <row r="41" customFormat="false" ht="31.5" hidden="false" customHeight="true" outlineLevel="0" collapsed="false">
      <c r="A41" s="15"/>
      <c r="B41" s="16" t="s">
        <v>141</v>
      </c>
      <c r="C41" s="17" t="s">
        <v>142</v>
      </c>
      <c r="D41" s="17" t="s">
        <v>143</v>
      </c>
      <c r="E41" s="12" t="s">
        <v>36</v>
      </c>
      <c r="F41" s="18" t="n">
        <v>45</v>
      </c>
      <c r="G41" s="17"/>
      <c r="H41" s="17"/>
      <c r="I41" s="14" t="s">
        <v>42</v>
      </c>
    </row>
    <row r="42" customFormat="false" ht="70.5" hidden="false" customHeight="true" outlineLevel="0" collapsed="false">
      <c r="A42" s="15"/>
      <c r="B42" s="16" t="s">
        <v>144</v>
      </c>
      <c r="C42" s="17" t="s">
        <v>145</v>
      </c>
      <c r="D42" s="17" t="s">
        <v>146</v>
      </c>
      <c r="E42" s="19" t="s">
        <v>49</v>
      </c>
      <c r="F42" s="18" t="n">
        <v>90</v>
      </c>
      <c r="G42" s="17" t="s">
        <v>50</v>
      </c>
      <c r="H42" s="17" t="s">
        <v>147</v>
      </c>
      <c r="I42" s="11" t="s">
        <v>27</v>
      </c>
    </row>
    <row r="43" customFormat="false" ht="70.5" hidden="false" customHeight="true" outlineLevel="0" collapsed="false">
      <c r="A43" s="15"/>
      <c r="B43" s="16" t="s">
        <v>148</v>
      </c>
      <c r="C43" s="17" t="s">
        <v>149</v>
      </c>
      <c r="D43" s="17" t="s">
        <v>150</v>
      </c>
      <c r="E43" s="8" t="s">
        <v>15</v>
      </c>
      <c r="F43" s="18" t="n">
        <v>60</v>
      </c>
      <c r="G43" s="17" t="s">
        <v>31</v>
      </c>
      <c r="H43" s="17" t="s">
        <v>151</v>
      </c>
      <c r="I43" s="11" t="s">
        <v>27</v>
      </c>
    </row>
    <row r="44" customFormat="false" ht="84" hidden="false" customHeight="true" outlineLevel="0" collapsed="false">
      <c r="A44" s="15"/>
      <c r="B44" s="16" t="s">
        <v>152</v>
      </c>
      <c r="C44" s="17" t="s">
        <v>153</v>
      </c>
      <c r="D44" s="17" t="s">
        <v>154</v>
      </c>
      <c r="E44" s="20" t="s">
        <v>59</v>
      </c>
      <c r="F44" s="18" t="n">
        <v>120</v>
      </c>
      <c r="G44" s="17" t="s">
        <v>155</v>
      </c>
      <c r="H44" s="17" t="s">
        <v>156</v>
      </c>
      <c r="I44" s="21" t="s">
        <v>60</v>
      </c>
    </row>
    <row r="45" customFormat="false" ht="45" hidden="false" customHeight="true" outlineLevel="0" collapsed="false">
      <c r="A45" s="15"/>
      <c r="B45" s="16" t="s">
        <v>39</v>
      </c>
      <c r="C45" s="17" t="s">
        <v>40</v>
      </c>
      <c r="D45" s="17" t="s">
        <v>41</v>
      </c>
      <c r="E45" s="12" t="s">
        <v>36</v>
      </c>
      <c r="F45" s="18" t="n">
        <v>45</v>
      </c>
      <c r="G45" s="17"/>
      <c r="H45" s="17"/>
      <c r="I45" s="14" t="s">
        <v>42</v>
      </c>
    </row>
    <row r="46" customFormat="false" ht="31.5" hidden="false" customHeight="true" outlineLevel="0" collapsed="false">
      <c r="A46" s="5" t="n">
        <v>7</v>
      </c>
      <c r="B46" s="6" t="s">
        <v>157</v>
      </c>
      <c r="C46" s="7" t="s">
        <v>158</v>
      </c>
      <c r="D46" s="7" t="s">
        <v>159</v>
      </c>
      <c r="E46" s="12" t="s">
        <v>36</v>
      </c>
      <c r="F46" s="9" t="n">
        <v>45</v>
      </c>
      <c r="G46" s="7"/>
      <c r="H46" s="7"/>
      <c r="I46" s="14" t="s">
        <v>42</v>
      </c>
    </row>
    <row r="47" customFormat="false" ht="45" hidden="false" customHeight="true" outlineLevel="0" collapsed="false">
      <c r="A47" s="5"/>
      <c r="B47" s="6" t="s">
        <v>160</v>
      </c>
      <c r="C47" s="7" t="s">
        <v>161</v>
      </c>
      <c r="D47" s="7" t="s">
        <v>162</v>
      </c>
      <c r="E47" s="20" t="s">
        <v>59</v>
      </c>
      <c r="F47" s="9" t="n">
        <v>90</v>
      </c>
      <c r="G47" s="7" t="s">
        <v>155</v>
      </c>
      <c r="H47" s="7" t="s">
        <v>163</v>
      </c>
      <c r="I47" s="21" t="s">
        <v>60</v>
      </c>
    </row>
    <row r="48" customFormat="false" ht="57.75" hidden="false" customHeight="true" outlineLevel="0" collapsed="false">
      <c r="A48" s="5"/>
      <c r="B48" s="6" t="s">
        <v>164</v>
      </c>
      <c r="C48" s="7" t="s">
        <v>165</v>
      </c>
      <c r="D48" s="7" t="s">
        <v>166</v>
      </c>
      <c r="E48" s="19" t="s">
        <v>49</v>
      </c>
      <c r="F48" s="9" t="n">
        <v>90</v>
      </c>
      <c r="G48" s="7" t="s">
        <v>50</v>
      </c>
      <c r="H48" s="7" t="s">
        <v>167</v>
      </c>
      <c r="I48" s="10" t="s">
        <v>18</v>
      </c>
    </row>
    <row r="49" customFormat="false" ht="45" hidden="false" customHeight="true" outlineLevel="0" collapsed="false">
      <c r="A49" s="5"/>
      <c r="B49" s="6" t="s">
        <v>168</v>
      </c>
      <c r="C49" s="7" t="s">
        <v>169</v>
      </c>
      <c r="D49" s="7" t="s">
        <v>170</v>
      </c>
      <c r="E49" s="12" t="s">
        <v>36</v>
      </c>
      <c r="F49" s="9" t="n">
        <v>150</v>
      </c>
      <c r="G49" s="7" t="s">
        <v>171</v>
      </c>
      <c r="H49" s="7"/>
      <c r="I49" s="21" t="s">
        <v>60</v>
      </c>
    </row>
    <row r="50" customFormat="false" ht="45" hidden="false" customHeight="true" outlineLevel="0" collapsed="false">
      <c r="A50" s="5"/>
      <c r="B50" s="6" t="s">
        <v>39</v>
      </c>
      <c r="C50" s="7" t="s">
        <v>40</v>
      </c>
      <c r="D50" s="7" t="s">
        <v>41</v>
      </c>
      <c r="E50" s="12" t="s">
        <v>36</v>
      </c>
      <c r="F50" s="9" t="n">
        <v>45</v>
      </c>
      <c r="G50" s="7"/>
      <c r="H50" s="7"/>
      <c r="I50" s="14" t="s">
        <v>42</v>
      </c>
    </row>
    <row r="51" customFormat="false" ht="31.5" hidden="false" customHeight="true" outlineLevel="0" collapsed="false">
      <c r="A51" s="15" t="n">
        <v>8</v>
      </c>
      <c r="B51" s="16" t="s">
        <v>172</v>
      </c>
      <c r="C51" s="17" t="s">
        <v>173</v>
      </c>
      <c r="D51" s="17" t="s">
        <v>174</v>
      </c>
      <c r="E51" s="12" t="s">
        <v>36</v>
      </c>
      <c r="F51" s="18" t="n">
        <v>45</v>
      </c>
      <c r="G51" s="17"/>
      <c r="H51" s="17"/>
      <c r="I51" s="14" t="s">
        <v>42</v>
      </c>
    </row>
    <row r="52" customFormat="false" ht="45" hidden="false" customHeight="true" outlineLevel="0" collapsed="false">
      <c r="A52" s="15"/>
      <c r="B52" s="16" t="s">
        <v>168</v>
      </c>
      <c r="C52" s="17" t="s">
        <v>175</v>
      </c>
      <c r="D52" s="17" t="s">
        <v>176</v>
      </c>
      <c r="E52" s="12" t="s">
        <v>36</v>
      </c>
      <c r="F52" s="18" t="n">
        <v>270</v>
      </c>
      <c r="G52" s="17" t="s">
        <v>177</v>
      </c>
      <c r="H52" s="17"/>
      <c r="I52" s="21" t="s">
        <v>60</v>
      </c>
    </row>
    <row r="53" customFormat="false" ht="45" hidden="false" customHeight="true" outlineLevel="0" collapsed="false">
      <c r="A53" s="15"/>
      <c r="B53" s="16" t="s">
        <v>178</v>
      </c>
      <c r="C53" s="17" t="s">
        <v>179</v>
      </c>
      <c r="D53" s="17" t="s">
        <v>180</v>
      </c>
      <c r="E53" s="20" t="s">
        <v>59</v>
      </c>
      <c r="F53" s="18" t="n">
        <v>60</v>
      </c>
      <c r="G53" s="17"/>
      <c r="H53" s="17" t="s">
        <v>181</v>
      </c>
      <c r="I53" s="14" t="s">
        <v>42</v>
      </c>
    </row>
    <row r="54" customFormat="false" ht="45" hidden="false" customHeight="true" outlineLevel="0" collapsed="false">
      <c r="A54" s="15"/>
      <c r="B54" s="16" t="s">
        <v>39</v>
      </c>
      <c r="C54" s="17" t="s">
        <v>40</v>
      </c>
      <c r="D54" s="17" t="s">
        <v>41</v>
      </c>
      <c r="E54" s="12" t="s">
        <v>36</v>
      </c>
      <c r="F54" s="18" t="n">
        <v>45</v>
      </c>
      <c r="G54" s="17"/>
      <c r="H54" s="17"/>
      <c r="I54" s="14" t="s">
        <v>42</v>
      </c>
    </row>
    <row r="55" customFormat="false" ht="31.5" hidden="false" customHeight="true" outlineLevel="0" collapsed="false">
      <c r="A55" s="5" t="n">
        <v>9</v>
      </c>
      <c r="B55" s="6" t="s">
        <v>182</v>
      </c>
      <c r="C55" s="7" t="s">
        <v>183</v>
      </c>
      <c r="D55" s="7" t="s">
        <v>184</v>
      </c>
      <c r="E55" s="12" t="s">
        <v>36</v>
      </c>
      <c r="F55" s="9" t="n">
        <v>45</v>
      </c>
      <c r="G55" s="7"/>
      <c r="H55" s="7"/>
      <c r="I55" s="14" t="s">
        <v>42</v>
      </c>
    </row>
    <row r="56" customFormat="false" ht="70.5" hidden="false" customHeight="true" outlineLevel="0" collapsed="false">
      <c r="A56" s="5"/>
      <c r="B56" s="6" t="s">
        <v>185</v>
      </c>
      <c r="C56" s="7" t="s">
        <v>186</v>
      </c>
      <c r="D56" s="7" t="s">
        <v>187</v>
      </c>
      <c r="E56" s="19" t="s">
        <v>49</v>
      </c>
      <c r="F56" s="9" t="n">
        <v>90</v>
      </c>
      <c r="G56" s="7" t="s">
        <v>50</v>
      </c>
      <c r="H56" s="7" t="s">
        <v>188</v>
      </c>
      <c r="I56" s="10" t="s">
        <v>18</v>
      </c>
    </row>
    <row r="57" customFormat="false" ht="45" hidden="false" customHeight="true" outlineLevel="0" collapsed="false">
      <c r="A57" s="5"/>
      <c r="B57" s="6" t="s">
        <v>189</v>
      </c>
      <c r="C57" s="7" t="s">
        <v>190</v>
      </c>
      <c r="D57" s="7" t="s">
        <v>191</v>
      </c>
      <c r="E57" s="12" t="s">
        <v>36</v>
      </c>
      <c r="F57" s="9" t="n">
        <v>90</v>
      </c>
      <c r="G57" s="7"/>
      <c r="H57" s="7" t="s">
        <v>192</v>
      </c>
      <c r="I57" s="21" t="s">
        <v>60</v>
      </c>
    </row>
    <row r="58" customFormat="false" ht="57.75" hidden="false" customHeight="true" outlineLevel="0" collapsed="false">
      <c r="A58" s="5"/>
      <c r="B58" s="6" t="s">
        <v>193</v>
      </c>
      <c r="C58" s="7" t="s">
        <v>194</v>
      </c>
      <c r="D58" s="7" t="s">
        <v>195</v>
      </c>
      <c r="E58" s="19" t="s">
        <v>49</v>
      </c>
      <c r="F58" s="9" t="n">
        <v>60</v>
      </c>
      <c r="G58" s="7" t="s">
        <v>196</v>
      </c>
      <c r="H58" s="7" t="s">
        <v>197</v>
      </c>
      <c r="I58" s="11" t="s">
        <v>27</v>
      </c>
    </row>
    <row r="59" customFormat="false" ht="57.75" hidden="false" customHeight="true" outlineLevel="0" collapsed="false">
      <c r="A59" s="5"/>
      <c r="B59" s="6" t="s">
        <v>198</v>
      </c>
      <c r="C59" s="7" t="s">
        <v>199</v>
      </c>
      <c r="D59" s="7" t="s">
        <v>200</v>
      </c>
      <c r="E59" s="19" t="s">
        <v>49</v>
      </c>
      <c r="F59" s="9" t="n">
        <v>90</v>
      </c>
      <c r="G59" s="7" t="s">
        <v>50</v>
      </c>
      <c r="H59" s="7" t="s">
        <v>201</v>
      </c>
      <c r="I59" s="11" t="s">
        <v>27</v>
      </c>
    </row>
    <row r="60" customFormat="false" ht="45" hidden="false" customHeight="true" outlineLevel="0" collapsed="false">
      <c r="A60" s="5"/>
      <c r="B60" s="6" t="s">
        <v>39</v>
      </c>
      <c r="C60" s="7" t="s">
        <v>40</v>
      </c>
      <c r="D60" s="7" t="s">
        <v>41</v>
      </c>
      <c r="E60" s="12" t="s">
        <v>36</v>
      </c>
      <c r="F60" s="9" t="n">
        <v>45</v>
      </c>
      <c r="G60" s="7"/>
      <c r="H60" s="7"/>
      <c r="I60" s="14" t="s">
        <v>42</v>
      </c>
    </row>
    <row r="61" customFormat="false" ht="31.5" hidden="false" customHeight="true" outlineLevel="0" collapsed="false">
      <c r="A61" s="15" t="n">
        <v>10</v>
      </c>
      <c r="B61" s="16" t="s">
        <v>202</v>
      </c>
      <c r="C61" s="17" t="s">
        <v>203</v>
      </c>
      <c r="D61" s="17" t="s">
        <v>204</v>
      </c>
      <c r="E61" s="12" t="s">
        <v>36</v>
      </c>
      <c r="F61" s="18" t="n">
        <v>45</v>
      </c>
      <c r="G61" s="17"/>
      <c r="H61" s="17"/>
      <c r="I61" s="14" t="s">
        <v>42</v>
      </c>
    </row>
    <row r="62" customFormat="false" ht="45" hidden="false" customHeight="true" outlineLevel="0" collapsed="false">
      <c r="A62" s="15"/>
      <c r="B62" s="16" t="s">
        <v>205</v>
      </c>
      <c r="C62" s="17" t="s">
        <v>206</v>
      </c>
      <c r="D62" s="17" t="s">
        <v>207</v>
      </c>
      <c r="E62" s="12" t="s">
        <v>36</v>
      </c>
      <c r="F62" s="18" t="n">
        <v>120</v>
      </c>
      <c r="G62" s="17"/>
      <c r="H62" s="17" t="s">
        <v>208</v>
      </c>
      <c r="I62" s="14" t="s">
        <v>42</v>
      </c>
    </row>
    <row r="63" customFormat="false" ht="45" hidden="false" customHeight="true" outlineLevel="0" collapsed="false">
      <c r="A63" s="15"/>
      <c r="B63" s="16" t="s">
        <v>209</v>
      </c>
      <c r="C63" s="17" t="s">
        <v>210</v>
      </c>
      <c r="D63" s="17" t="s">
        <v>211</v>
      </c>
      <c r="E63" s="22" t="s">
        <v>138</v>
      </c>
      <c r="F63" s="18" t="n">
        <v>120</v>
      </c>
      <c r="G63" s="17" t="s">
        <v>212</v>
      </c>
      <c r="H63" s="17"/>
      <c r="I63" s="14" t="s">
        <v>42</v>
      </c>
    </row>
    <row r="64" customFormat="false" ht="45" hidden="false" customHeight="true" outlineLevel="0" collapsed="false">
      <c r="A64" s="15"/>
      <c r="B64" s="16" t="s">
        <v>213</v>
      </c>
      <c r="C64" s="17" t="s">
        <v>214</v>
      </c>
      <c r="D64" s="17" t="s">
        <v>215</v>
      </c>
      <c r="E64" s="20" t="s">
        <v>59</v>
      </c>
      <c r="F64" s="18" t="n">
        <v>90</v>
      </c>
      <c r="G64" s="17"/>
      <c r="H64" s="17"/>
      <c r="I64" s="14" t="s">
        <v>42</v>
      </c>
    </row>
    <row r="65" customFormat="false" ht="45" hidden="false" customHeight="true" outlineLevel="0" collapsed="false">
      <c r="A65" s="15"/>
      <c r="B65" s="16" t="s">
        <v>39</v>
      </c>
      <c r="C65" s="17" t="s">
        <v>40</v>
      </c>
      <c r="D65" s="17" t="s">
        <v>41</v>
      </c>
      <c r="E65" s="12" t="s">
        <v>36</v>
      </c>
      <c r="F65" s="18" t="n">
        <v>45</v>
      </c>
      <c r="G65" s="17"/>
      <c r="H65" s="17"/>
      <c r="I65" s="14" t="s">
        <v>42</v>
      </c>
    </row>
    <row r="66" customFormat="false" ht="21.75" hidden="false" customHeight="true" outlineLevel="0" collapsed="false">
      <c r="A66" s="4" t="s">
        <v>216</v>
      </c>
      <c r="B66" s="4"/>
      <c r="C66" s="4"/>
      <c r="D66" s="4"/>
      <c r="E66" s="4"/>
      <c r="F66" s="4"/>
      <c r="G66" s="4"/>
      <c r="H66" s="4"/>
      <c r="I66" s="4"/>
    </row>
    <row r="67" customFormat="false" ht="31.5" hidden="false" customHeight="true" outlineLevel="0" collapsed="false">
      <c r="A67" s="5" t="n">
        <v>11</v>
      </c>
      <c r="B67" s="6" t="s">
        <v>217</v>
      </c>
      <c r="C67" s="7" t="s">
        <v>218</v>
      </c>
      <c r="D67" s="7" t="s">
        <v>219</v>
      </c>
      <c r="E67" s="12" t="s">
        <v>36</v>
      </c>
      <c r="F67" s="9" t="n">
        <v>45</v>
      </c>
      <c r="G67" s="7"/>
      <c r="H67" s="7"/>
      <c r="I67" s="14" t="s">
        <v>42</v>
      </c>
    </row>
    <row r="68" customFormat="false" ht="84" hidden="false" customHeight="true" outlineLevel="0" collapsed="false">
      <c r="A68" s="5"/>
      <c r="B68" s="6" t="s">
        <v>220</v>
      </c>
      <c r="C68" s="7" t="s">
        <v>221</v>
      </c>
      <c r="D68" s="7" t="s">
        <v>222</v>
      </c>
      <c r="E68" s="20" t="s">
        <v>59</v>
      </c>
      <c r="F68" s="9" t="n">
        <v>120</v>
      </c>
      <c r="G68" s="7" t="s">
        <v>223</v>
      </c>
      <c r="H68" s="7" t="s">
        <v>224</v>
      </c>
      <c r="I68" s="21" t="s">
        <v>60</v>
      </c>
    </row>
    <row r="69" customFormat="false" ht="45" hidden="false" customHeight="true" outlineLevel="0" collapsed="false">
      <c r="A69" s="5"/>
      <c r="B69" s="6" t="s">
        <v>225</v>
      </c>
      <c r="C69" s="7" t="s">
        <v>226</v>
      </c>
      <c r="D69" s="7" t="s">
        <v>227</v>
      </c>
      <c r="E69" s="12" t="s">
        <v>36</v>
      </c>
      <c r="F69" s="9" t="n">
        <v>165</v>
      </c>
      <c r="G69" s="7"/>
      <c r="H69" s="7" t="s">
        <v>228</v>
      </c>
      <c r="I69" s="21" t="s">
        <v>60</v>
      </c>
    </row>
    <row r="70" customFormat="false" ht="70.5" hidden="false" customHeight="true" outlineLevel="0" collapsed="false">
      <c r="A70" s="5"/>
      <c r="B70" s="6" t="s">
        <v>229</v>
      </c>
      <c r="C70" s="7" t="s">
        <v>230</v>
      </c>
      <c r="D70" s="7" t="s">
        <v>231</v>
      </c>
      <c r="E70" s="8" t="s">
        <v>15</v>
      </c>
      <c r="F70" s="9" t="n">
        <v>45</v>
      </c>
      <c r="G70" s="7" t="s">
        <v>97</v>
      </c>
      <c r="H70" s="7" t="s">
        <v>232</v>
      </c>
      <c r="I70" s="11" t="s">
        <v>27</v>
      </c>
    </row>
    <row r="71" customFormat="false" ht="45" hidden="false" customHeight="true" outlineLevel="0" collapsed="false">
      <c r="A71" s="5"/>
      <c r="B71" s="6" t="s">
        <v>39</v>
      </c>
      <c r="C71" s="7" t="s">
        <v>40</v>
      </c>
      <c r="D71" s="7" t="s">
        <v>41</v>
      </c>
      <c r="E71" s="12" t="s">
        <v>36</v>
      </c>
      <c r="F71" s="9" t="n">
        <v>45</v>
      </c>
      <c r="G71" s="7"/>
      <c r="H71" s="7"/>
      <c r="I71" s="14" t="s">
        <v>42</v>
      </c>
    </row>
    <row r="72" customFormat="false" ht="31.5" hidden="false" customHeight="true" outlineLevel="0" collapsed="false">
      <c r="A72" s="15" t="n">
        <v>12</v>
      </c>
      <c r="B72" s="16" t="s">
        <v>233</v>
      </c>
      <c r="C72" s="17" t="s">
        <v>234</v>
      </c>
      <c r="D72" s="17" t="s">
        <v>235</v>
      </c>
      <c r="E72" s="12" t="s">
        <v>36</v>
      </c>
      <c r="F72" s="18" t="n">
        <v>45</v>
      </c>
      <c r="G72" s="17"/>
      <c r="H72" s="17"/>
      <c r="I72" s="14" t="s">
        <v>42</v>
      </c>
    </row>
    <row r="73" customFormat="false" ht="31.5" hidden="false" customHeight="true" outlineLevel="0" collapsed="false">
      <c r="A73" s="15"/>
      <c r="B73" s="16" t="s">
        <v>236</v>
      </c>
      <c r="C73" s="17" t="s">
        <v>237</v>
      </c>
      <c r="D73" s="17" t="s">
        <v>238</v>
      </c>
      <c r="E73" s="12" t="s">
        <v>36</v>
      </c>
      <c r="F73" s="18" t="n">
        <v>270</v>
      </c>
      <c r="G73" s="17" t="s">
        <v>239</v>
      </c>
      <c r="H73" s="17"/>
      <c r="I73" s="21" t="s">
        <v>60</v>
      </c>
    </row>
    <row r="74" customFormat="false" ht="31.5" hidden="false" customHeight="true" outlineLevel="0" collapsed="false">
      <c r="A74" s="15"/>
      <c r="B74" s="16" t="s">
        <v>178</v>
      </c>
      <c r="C74" s="17" t="s">
        <v>240</v>
      </c>
      <c r="D74" s="17" t="s">
        <v>180</v>
      </c>
      <c r="E74" s="20" t="s">
        <v>59</v>
      </c>
      <c r="F74" s="18" t="n">
        <v>60</v>
      </c>
      <c r="G74" s="17"/>
      <c r="H74" s="17"/>
      <c r="I74" s="14" t="s">
        <v>42</v>
      </c>
    </row>
    <row r="75" customFormat="false" ht="45" hidden="false" customHeight="true" outlineLevel="0" collapsed="false">
      <c r="A75" s="15"/>
      <c r="B75" s="16" t="s">
        <v>39</v>
      </c>
      <c r="C75" s="17" t="s">
        <v>40</v>
      </c>
      <c r="D75" s="17" t="s">
        <v>41</v>
      </c>
      <c r="E75" s="12" t="s">
        <v>36</v>
      </c>
      <c r="F75" s="18" t="n">
        <v>45</v>
      </c>
      <c r="G75" s="17"/>
      <c r="H75" s="17"/>
      <c r="I75" s="14" t="s">
        <v>42</v>
      </c>
    </row>
    <row r="76" customFormat="false" ht="31.5" hidden="false" customHeight="true" outlineLevel="0" collapsed="false">
      <c r="A76" s="5" t="n">
        <v>13</v>
      </c>
      <c r="B76" s="6" t="s">
        <v>241</v>
      </c>
      <c r="C76" s="7" t="s">
        <v>242</v>
      </c>
      <c r="D76" s="7" t="s">
        <v>243</v>
      </c>
      <c r="E76" s="12" t="s">
        <v>36</v>
      </c>
      <c r="F76" s="9" t="n">
        <v>45</v>
      </c>
      <c r="G76" s="7"/>
      <c r="H76" s="7"/>
      <c r="I76" s="14" t="s">
        <v>42</v>
      </c>
    </row>
    <row r="77" customFormat="false" ht="31.5" hidden="false" customHeight="true" outlineLevel="0" collapsed="false">
      <c r="A77" s="5"/>
      <c r="B77" s="6" t="s">
        <v>236</v>
      </c>
      <c r="C77" s="7" t="s">
        <v>244</v>
      </c>
      <c r="D77" s="7" t="s">
        <v>245</v>
      </c>
      <c r="E77" s="12" t="s">
        <v>36</v>
      </c>
      <c r="F77" s="9" t="n">
        <v>180</v>
      </c>
      <c r="G77" s="7" t="s">
        <v>246</v>
      </c>
      <c r="H77" s="7"/>
      <c r="I77" s="21" t="s">
        <v>60</v>
      </c>
    </row>
    <row r="78" customFormat="false" ht="31.5" hidden="false" customHeight="true" outlineLevel="0" collapsed="false">
      <c r="A78" s="5"/>
      <c r="B78" s="6" t="s">
        <v>247</v>
      </c>
      <c r="C78" s="7" t="s">
        <v>248</v>
      </c>
      <c r="D78" s="7" t="s">
        <v>249</v>
      </c>
      <c r="E78" s="12" t="s">
        <v>36</v>
      </c>
      <c r="F78" s="9" t="n">
        <v>90</v>
      </c>
      <c r="G78" s="7"/>
      <c r="H78" s="7" t="s">
        <v>250</v>
      </c>
      <c r="I78" s="13" t="s">
        <v>38</v>
      </c>
    </row>
    <row r="79" customFormat="false" ht="31.5" hidden="false" customHeight="true" outlineLevel="0" collapsed="false">
      <c r="A79" s="5"/>
      <c r="B79" s="6" t="s">
        <v>251</v>
      </c>
      <c r="C79" s="7" t="s">
        <v>252</v>
      </c>
      <c r="D79" s="7" t="s">
        <v>253</v>
      </c>
      <c r="E79" s="20" t="s">
        <v>59</v>
      </c>
      <c r="F79" s="9" t="n">
        <v>60</v>
      </c>
      <c r="G79" s="7"/>
      <c r="H79" s="7" t="s">
        <v>254</v>
      </c>
      <c r="I79" s="13" t="s">
        <v>38</v>
      </c>
    </row>
    <row r="80" customFormat="false" ht="45" hidden="false" customHeight="true" outlineLevel="0" collapsed="false">
      <c r="A80" s="5"/>
      <c r="B80" s="6" t="s">
        <v>39</v>
      </c>
      <c r="C80" s="7" t="s">
        <v>40</v>
      </c>
      <c r="D80" s="7" t="s">
        <v>41</v>
      </c>
      <c r="E80" s="12" t="s">
        <v>36</v>
      </c>
      <c r="F80" s="9" t="n">
        <v>45</v>
      </c>
      <c r="G80" s="7"/>
      <c r="H80" s="7"/>
      <c r="I80" s="14" t="s">
        <v>42</v>
      </c>
    </row>
    <row r="81" customFormat="false" ht="31.5" hidden="false" customHeight="true" outlineLevel="0" collapsed="false">
      <c r="A81" s="15" t="n">
        <v>14</v>
      </c>
      <c r="B81" s="16" t="s">
        <v>255</v>
      </c>
      <c r="C81" s="17" t="s">
        <v>256</v>
      </c>
      <c r="D81" s="17" t="s">
        <v>257</v>
      </c>
      <c r="E81" s="12" t="s">
        <v>36</v>
      </c>
      <c r="F81" s="18" t="n">
        <v>45</v>
      </c>
      <c r="G81" s="17"/>
      <c r="H81" s="17"/>
      <c r="I81" s="14" t="s">
        <v>42</v>
      </c>
    </row>
    <row r="82" customFormat="false" ht="31.5" hidden="false" customHeight="true" outlineLevel="0" collapsed="false">
      <c r="A82" s="15"/>
      <c r="B82" s="16" t="s">
        <v>258</v>
      </c>
      <c r="C82" s="17" t="s">
        <v>259</v>
      </c>
      <c r="D82" s="17" t="s">
        <v>260</v>
      </c>
      <c r="E82" s="12" t="s">
        <v>36</v>
      </c>
      <c r="F82" s="18" t="n">
        <v>240</v>
      </c>
      <c r="G82" s="17" t="s">
        <v>261</v>
      </c>
      <c r="H82" s="17" t="s">
        <v>125</v>
      </c>
      <c r="I82" s="13" t="s">
        <v>38</v>
      </c>
    </row>
    <row r="83" customFormat="false" ht="31.5" hidden="false" customHeight="true" outlineLevel="0" collapsed="false">
      <c r="A83" s="15"/>
      <c r="B83" s="16" t="s">
        <v>262</v>
      </c>
      <c r="C83" s="17" t="s">
        <v>263</v>
      </c>
      <c r="D83" s="17" t="s">
        <v>264</v>
      </c>
      <c r="E83" s="20" t="s">
        <v>59</v>
      </c>
      <c r="F83" s="18" t="n">
        <v>60</v>
      </c>
      <c r="G83" s="17"/>
      <c r="H83" s="17"/>
      <c r="I83" s="13" t="s">
        <v>38</v>
      </c>
    </row>
    <row r="84" customFormat="false" ht="84" hidden="false" customHeight="true" outlineLevel="0" collapsed="false">
      <c r="A84" s="15"/>
      <c r="B84" s="16" t="s">
        <v>265</v>
      </c>
      <c r="C84" s="17" t="s">
        <v>266</v>
      </c>
      <c r="D84" s="17" t="s">
        <v>267</v>
      </c>
      <c r="E84" s="8" t="s">
        <v>15</v>
      </c>
      <c r="F84" s="18" t="n">
        <v>30</v>
      </c>
      <c r="G84" s="17" t="s">
        <v>268</v>
      </c>
      <c r="H84" s="17" t="s">
        <v>269</v>
      </c>
      <c r="I84" s="11" t="s">
        <v>27</v>
      </c>
    </row>
    <row r="85" customFormat="false" ht="45" hidden="false" customHeight="true" outlineLevel="0" collapsed="false">
      <c r="A85" s="15"/>
      <c r="B85" s="16" t="s">
        <v>39</v>
      </c>
      <c r="C85" s="17" t="s">
        <v>40</v>
      </c>
      <c r="D85" s="17" t="s">
        <v>41</v>
      </c>
      <c r="E85" s="12" t="s">
        <v>36</v>
      </c>
      <c r="F85" s="18" t="n">
        <v>45</v>
      </c>
      <c r="G85" s="17"/>
      <c r="H85" s="17"/>
      <c r="I85" s="14" t="s">
        <v>42</v>
      </c>
    </row>
    <row r="86" customFormat="false" ht="31.5" hidden="false" customHeight="true" outlineLevel="0" collapsed="false">
      <c r="A86" s="5" t="n">
        <v>15</v>
      </c>
      <c r="B86" s="6" t="s">
        <v>270</v>
      </c>
      <c r="C86" s="7" t="s">
        <v>271</v>
      </c>
      <c r="D86" s="7" t="s">
        <v>272</v>
      </c>
      <c r="E86" s="12" t="s">
        <v>36</v>
      </c>
      <c r="F86" s="9" t="n">
        <v>45</v>
      </c>
      <c r="G86" s="7"/>
      <c r="H86" s="7"/>
      <c r="I86" s="14" t="s">
        <v>42</v>
      </c>
    </row>
    <row r="87" customFormat="false" ht="27.75" hidden="false" customHeight="true" outlineLevel="0" collapsed="false">
      <c r="A87" s="5"/>
      <c r="B87" s="6" t="s">
        <v>273</v>
      </c>
      <c r="C87" s="7" t="s">
        <v>274</v>
      </c>
      <c r="D87" s="7" t="s">
        <v>275</v>
      </c>
      <c r="E87" s="22" t="s">
        <v>138</v>
      </c>
      <c r="F87" s="9" t="n">
        <v>60</v>
      </c>
      <c r="G87" s="7" t="s">
        <v>276</v>
      </c>
      <c r="H87" s="7"/>
      <c r="I87" s="14" t="s">
        <v>42</v>
      </c>
    </row>
    <row r="88" customFormat="false" ht="57.75" hidden="false" customHeight="true" outlineLevel="0" collapsed="false">
      <c r="A88" s="5"/>
      <c r="B88" s="6" t="s">
        <v>277</v>
      </c>
      <c r="C88" s="7" t="s">
        <v>278</v>
      </c>
      <c r="D88" s="7" t="s">
        <v>279</v>
      </c>
      <c r="E88" s="22" t="s">
        <v>138</v>
      </c>
      <c r="F88" s="9" t="n">
        <v>150</v>
      </c>
      <c r="G88" s="7" t="s">
        <v>212</v>
      </c>
      <c r="H88" s="7"/>
      <c r="I88" s="14" t="s">
        <v>42</v>
      </c>
    </row>
    <row r="89" customFormat="false" ht="45" hidden="false" customHeight="true" outlineLevel="0" collapsed="false">
      <c r="A89" s="5"/>
      <c r="B89" s="6" t="s">
        <v>280</v>
      </c>
      <c r="C89" s="7" t="s">
        <v>281</v>
      </c>
      <c r="D89" s="7" t="s">
        <v>282</v>
      </c>
      <c r="E89" s="20" t="s">
        <v>59</v>
      </c>
      <c r="F89" s="9" t="n">
        <v>60</v>
      </c>
      <c r="G89" s="7"/>
      <c r="H89" s="7"/>
      <c r="I89" s="14" t="s">
        <v>42</v>
      </c>
    </row>
    <row r="90" customFormat="false" ht="70.5" hidden="false" customHeight="true" outlineLevel="0" collapsed="false">
      <c r="A90" s="5"/>
      <c r="B90" s="6" t="s">
        <v>283</v>
      </c>
      <c r="C90" s="7" t="s">
        <v>284</v>
      </c>
      <c r="D90" s="7" t="s">
        <v>285</v>
      </c>
      <c r="E90" s="20" t="s">
        <v>59</v>
      </c>
      <c r="F90" s="9" t="n">
        <v>60</v>
      </c>
      <c r="G90" s="7"/>
      <c r="H90" s="7" t="s">
        <v>286</v>
      </c>
      <c r="I90" s="13" t="s">
        <v>38</v>
      </c>
    </row>
    <row r="91" customFormat="false" ht="31.5" hidden="false" customHeight="true" outlineLevel="0" collapsed="false">
      <c r="A91" s="5"/>
      <c r="B91" s="6" t="s">
        <v>287</v>
      </c>
      <c r="C91" s="7" t="s">
        <v>288</v>
      </c>
      <c r="D91" s="7" t="s">
        <v>289</v>
      </c>
      <c r="E91" s="12" t="s">
        <v>36</v>
      </c>
      <c r="F91" s="9" t="n">
        <v>45</v>
      </c>
      <c r="G91" s="7"/>
      <c r="H91" s="7"/>
      <c r="I91" s="14" t="s">
        <v>42</v>
      </c>
    </row>
  </sheetData>
  <mergeCells count="20">
    <mergeCell ref="A1:I1"/>
    <mergeCell ref="A2:I2"/>
    <mergeCell ref="A5:I5"/>
    <mergeCell ref="A6:A11"/>
    <mergeCell ref="A12:A18"/>
    <mergeCell ref="A19:A25"/>
    <mergeCell ref="A26:A32"/>
    <mergeCell ref="A33:A38"/>
    <mergeCell ref="A39:I39"/>
    <mergeCell ref="A40:A45"/>
    <mergeCell ref="A46:A50"/>
    <mergeCell ref="A51:A54"/>
    <mergeCell ref="A55:A60"/>
    <mergeCell ref="A61:A65"/>
    <mergeCell ref="A66:I66"/>
    <mergeCell ref="A67:A71"/>
    <mergeCell ref="A72:A75"/>
    <mergeCell ref="A76:A80"/>
    <mergeCell ref="A81:A85"/>
    <mergeCell ref="A86:A91"/>
  </mergeCells>
  <printOptions headings="false" gridLines="false" gridLinesSet="true" horizontalCentered="false" verticalCentered="false"/>
  <pageMargins left="0.75" right="0.75" top="1" bottom="1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&amp;CApple Internal – Confidential  ·  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9"/>
    <col collapsed="false" customWidth="true" hidden="false" outlineLevel="0" max="3" min="3" style="0" width="50"/>
    <col collapsed="false" customWidth="true" hidden="false" outlineLevel="0" max="4" min="4" style="0" width="11"/>
    <col collapsed="false" customWidth="true" hidden="false" outlineLevel="0" max="5" min="5" style="0" width="10"/>
    <col collapsed="false" customWidth="true" hidden="false" outlineLevel="0" max="6" min="6" style="0" width="28"/>
    <col collapsed="false" customWidth="true" hidden="false" outlineLevel="0" max="7" min="7" style="0" width="52"/>
  </cols>
  <sheetData>
    <row r="1" customFormat="false" ht="24" hidden="false" customHeight="true" outlineLevel="0" collapsed="false">
      <c r="A1" s="1" t="s">
        <v>290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291</v>
      </c>
      <c r="B2" s="2"/>
      <c r="C2" s="2"/>
      <c r="D2" s="2"/>
      <c r="E2" s="2"/>
      <c r="F2" s="2"/>
      <c r="G2" s="2"/>
    </row>
    <row r="4" customFormat="false" ht="19.5" hidden="false" customHeight="true" outlineLevel="0" collapsed="false">
      <c r="A4" s="23" t="s">
        <v>292</v>
      </c>
      <c r="B4" s="23"/>
      <c r="C4" s="23"/>
      <c r="D4" s="23"/>
      <c r="E4" s="23"/>
      <c r="F4" s="23"/>
      <c r="G4" s="23"/>
    </row>
    <row r="5" customFormat="false" ht="27.75" hidden="false" customHeight="true" outlineLevel="0" collapsed="false">
      <c r="A5" s="3" t="s">
        <v>2</v>
      </c>
      <c r="B5" s="3" t="s">
        <v>293</v>
      </c>
      <c r="C5" s="3" t="s">
        <v>294</v>
      </c>
      <c r="D5" s="3" t="s">
        <v>295</v>
      </c>
      <c r="E5" s="3" t="s">
        <v>296</v>
      </c>
      <c r="F5" s="3" t="s">
        <v>297</v>
      </c>
      <c r="G5" s="3" t="s">
        <v>298</v>
      </c>
    </row>
    <row r="6" customFormat="false" ht="18" hidden="false" customHeight="true" outlineLevel="0" collapsed="false">
      <c r="A6" s="24" t="n">
        <v>1</v>
      </c>
      <c r="B6" s="24" t="n">
        <v>1</v>
      </c>
      <c r="C6" s="25" t="s">
        <v>299</v>
      </c>
      <c r="D6" s="26" t="n">
        <f aca="false">SUM('15-Day Curriculum'!F6:F11)</f>
        <v>420</v>
      </c>
      <c r="E6" s="27" t="n">
        <f aca="false">D6/60</f>
        <v>7</v>
      </c>
      <c r="F6" s="25"/>
      <c r="G6" s="25" t="s">
        <v>300</v>
      </c>
    </row>
    <row r="7" customFormat="false" ht="30.75" hidden="false" customHeight="true" outlineLevel="0" collapsed="false">
      <c r="A7" s="28" t="n">
        <v>2</v>
      </c>
      <c r="B7" s="28" t="n">
        <v>1</v>
      </c>
      <c r="C7" s="17" t="s">
        <v>301</v>
      </c>
      <c r="D7" s="18" t="n">
        <f aca="false">SUM('15-Day Curriculum'!F12:F18)</f>
        <v>420</v>
      </c>
      <c r="E7" s="29" t="n">
        <f aca="false">D7/60</f>
        <v>7</v>
      </c>
      <c r="F7" s="17"/>
      <c r="G7" s="17" t="s">
        <v>302</v>
      </c>
    </row>
    <row r="8" customFormat="false" ht="18" hidden="false" customHeight="true" outlineLevel="0" collapsed="false">
      <c r="A8" s="24" t="n">
        <v>3</v>
      </c>
      <c r="B8" s="24" t="n">
        <v>1</v>
      </c>
      <c r="C8" s="25" t="s">
        <v>303</v>
      </c>
      <c r="D8" s="26" t="n">
        <f aca="false">SUM('15-Day Curriculum'!F19:F25)</f>
        <v>420</v>
      </c>
      <c r="E8" s="27" t="n">
        <f aca="false">D8/60</f>
        <v>7</v>
      </c>
      <c r="F8" s="25"/>
      <c r="G8" s="25" t="s">
        <v>304</v>
      </c>
    </row>
    <row r="9" customFormat="false" ht="30.75" hidden="false" customHeight="true" outlineLevel="0" collapsed="false">
      <c r="A9" s="28" t="n">
        <v>4</v>
      </c>
      <c r="B9" s="28" t="n">
        <v>1</v>
      </c>
      <c r="C9" s="17" t="s">
        <v>305</v>
      </c>
      <c r="D9" s="18" t="n">
        <f aca="false">SUM('15-Day Curriculum'!F26:F32)</f>
        <v>420</v>
      </c>
      <c r="E9" s="29" t="n">
        <f aca="false">D9/60</f>
        <v>7</v>
      </c>
      <c r="F9" s="17"/>
      <c r="G9" s="17" t="s">
        <v>306</v>
      </c>
    </row>
    <row r="10" customFormat="false" ht="18" hidden="false" customHeight="true" outlineLevel="0" collapsed="false">
      <c r="A10" s="24" t="n">
        <v>5</v>
      </c>
      <c r="B10" s="24" t="n">
        <v>1</v>
      </c>
      <c r="C10" s="25" t="s">
        <v>307</v>
      </c>
      <c r="D10" s="26" t="n">
        <f aca="false">SUM('15-Day Curriculum'!F33:F38)</f>
        <v>420</v>
      </c>
      <c r="E10" s="27" t="n">
        <f aca="false">D10/60</f>
        <v>7</v>
      </c>
      <c r="F10" s="25"/>
      <c r="G10" s="25" t="s">
        <v>308</v>
      </c>
    </row>
    <row r="11" customFormat="false" ht="18" hidden="false" customHeight="true" outlineLevel="0" collapsed="false">
      <c r="A11" s="28" t="n">
        <v>6</v>
      </c>
      <c r="B11" s="28" t="n">
        <v>2</v>
      </c>
      <c r="C11" s="17" t="s">
        <v>309</v>
      </c>
      <c r="D11" s="18" t="n">
        <f aca="false">SUM('15-Day Curriculum'!F40:F45)</f>
        <v>420</v>
      </c>
      <c r="E11" s="29" t="n">
        <f aca="false">D11/60</f>
        <v>7</v>
      </c>
      <c r="F11" s="30" t="s">
        <v>310</v>
      </c>
      <c r="G11" s="17" t="s">
        <v>311</v>
      </c>
    </row>
    <row r="12" customFormat="false" ht="30.75" hidden="false" customHeight="true" outlineLevel="0" collapsed="false">
      <c r="A12" s="24" t="n">
        <v>7</v>
      </c>
      <c r="B12" s="24" t="n">
        <v>2</v>
      </c>
      <c r="C12" s="25" t="s">
        <v>312</v>
      </c>
      <c r="D12" s="26" t="n">
        <f aca="false">SUM('15-Day Curriculum'!F46:F50)</f>
        <v>420</v>
      </c>
      <c r="E12" s="27" t="n">
        <f aca="false">D12/60</f>
        <v>7</v>
      </c>
      <c r="F12" s="25"/>
      <c r="G12" s="25" t="s">
        <v>313</v>
      </c>
    </row>
    <row r="13" customFormat="false" ht="18" hidden="false" customHeight="true" outlineLevel="0" collapsed="false">
      <c r="A13" s="28" t="n">
        <v>8</v>
      </c>
      <c r="B13" s="28" t="n">
        <v>2</v>
      </c>
      <c r="C13" s="17" t="s">
        <v>168</v>
      </c>
      <c r="D13" s="18" t="n">
        <f aca="false">SUM('15-Day Curriculum'!F51:F54)</f>
        <v>420</v>
      </c>
      <c r="E13" s="29" t="n">
        <f aca="false">D13/60</f>
        <v>7</v>
      </c>
      <c r="F13" s="17"/>
      <c r="G13" s="17" t="s">
        <v>177</v>
      </c>
    </row>
    <row r="14" customFormat="false" ht="18" hidden="false" customHeight="true" outlineLevel="0" collapsed="false">
      <c r="A14" s="24" t="n">
        <v>9</v>
      </c>
      <c r="B14" s="24" t="n">
        <v>2</v>
      </c>
      <c r="C14" s="25" t="s">
        <v>314</v>
      </c>
      <c r="D14" s="26" t="n">
        <f aca="false">SUM('15-Day Curriculum'!F55:F60)</f>
        <v>420</v>
      </c>
      <c r="E14" s="27" t="n">
        <f aca="false">D14/60</f>
        <v>7</v>
      </c>
      <c r="F14" s="25"/>
      <c r="G14" s="25" t="s">
        <v>315</v>
      </c>
    </row>
    <row r="15" customFormat="false" ht="18" hidden="false" customHeight="true" outlineLevel="0" collapsed="false">
      <c r="A15" s="28" t="n">
        <v>10</v>
      </c>
      <c r="B15" s="28" t="n">
        <v>2</v>
      </c>
      <c r="C15" s="17" t="s">
        <v>316</v>
      </c>
      <c r="D15" s="18" t="n">
        <f aca="false">SUM('15-Day Curriculum'!F61:F65)</f>
        <v>420</v>
      </c>
      <c r="E15" s="29" t="n">
        <f aca="false">D15/60</f>
        <v>7</v>
      </c>
      <c r="F15" s="30" t="s">
        <v>317</v>
      </c>
      <c r="G15" s="17" t="s">
        <v>315</v>
      </c>
    </row>
    <row r="16" customFormat="false" ht="18" hidden="false" customHeight="true" outlineLevel="0" collapsed="false">
      <c r="A16" s="24" t="n">
        <v>11</v>
      </c>
      <c r="B16" s="24" t="n">
        <v>3</v>
      </c>
      <c r="C16" s="25" t="s">
        <v>318</v>
      </c>
      <c r="D16" s="26" t="n">
        <f aca="false">SUM('15-Day Curriculum'!F67:F71)</f>
        <v>420</v>
      </c>
      <c r="E16" s="27" t="n">
        <f aca="false">D16/60</f>
        <v>7</v>
      </c>
      <c r="F16" s="25"/>
      <c r="G16" s="25" t="s">
        <v>319</v>
      </c>
    </row>
    <row r="17" customFormat="false" ht="18" hidden="false" customHeight="true" outlineLevel="0" collapsed="false">
      <c r="A17" s="28" t="n">
        <v>12</v>
      </c>
      <c r="B17" s="28" t="n">
        <v>3</v>
      </c>
      <c r="C17" s="17" t="s">
        <v>320</v>
      </c>
      <c r="D17" s="18" t="n">
        <f aca="false">SUM('15-Day Curriculum'!F72:F75)</f>
        <v>420</v>
      </c>
      <c r="E17" s="29" t="n">
        <f aca="false">D17/60</f>
        <v>7</v>
      </c>
      <c r="F17" s="17"/>
      <c r="G17" s="17" t="s">
        <v>239</v>
      </c>
    </row>
    <row r="18" customFormat="false" ht="18" hidden="false" customHeight="true" outlineLevel="0" collapsed="false">
      <c r="A18" s="24" t="n">
        <v>13</v>
      </c>
      <c r="B18" s="24" t="n">
        <v>3</v>
      </c>
      <c r="C18" s="25" t="s">
        <v>321</v>
      </c>
      <c r="D18" s="26" t="n">
        <f aca="false">SUM('15-Day Curriculum'!F76:F80)</f>
        <v>420</v>
      </c>
      <c r="E18" s="27" t="n">
        <f aca="false">D18/60</f>
        <v>7</v>
      </c>
      <c r="F18" s="25"/>
      <c r="G18" s="25" t="s">
        <v>322</v>
      </c>
    </row>
    <row r="19" customFormat="false" ht="18" hidden="false" customHeight="true" outlineLevel="0" collapsed="false">
      <c r="A19" s="28" t="n">
        <v>14</v>
      </c>
      <c r="B19" s="28" t="n">
        <v>3</v>
      </c>
      <c r="C19" s="17" t="s">
        <v>258</v>
      </c>
      <c r="D19" s="18" t="n">
        <f aca="false">SUM('15-Day Curriculum'!F81:F85)</f>
        <v>420</v>
      </c>
      <c r="E19" s="29" t="n">
        <f aca="false">D19/60</f>
        <v>7</v>
      </c>
      <c r="F19" s="17"/>
      <c r="G19" s="17" t="s">
        <v>323</v>
      </c>
    </row>
    <row r="20" customFormat="false" ht="18" hidden="false" customHeight="true" outlineLevel="0" collapsed="false">
      <c r="A20" s="24" t="n">
        <v>15</v>
      </c>
      <c r="B20" s="24" t="n">
        <v>3</v>
      </c>
      <c r="C20" s="25" t="s">
        <v>324</v>
      </c>
      <c r="D20" s="26" t="n">
        <f aca="false">SUM('15-Day Curriculum'!F86:F91)</f>
        <v>420</v>
      </c>
      <c r="E20" s="27" t="n">
        <f aca="false">D20/60</f>
        <v>7</v>
      </c>
      <c r="F20" s="30" t="s">
        <v>325</v>
      </c>
      <c r="G20" s="25" t="s">
        <v>315</v>
      </c>
    </row>
    <row r="21" customFormat="false" ht="15" hidden="false" customHeight="false" outlineLevel="0" collapsed="false">
      <c r="A21" s="31" t="s">
        <v>326</v>
      </c>
      <c r="B21" s="31"/>
      <c r="C21" s="31"/>
      <c r="D21" s="32" t="n">
        <f aca="false">SUM(D6:D20)</f>
        <v>6300</v>
      </c>
      <c r="E21" s="33" t="n">
        <f aca="false">SUM(E6:E20)</f>
        <v>105</v>
      </c>
      <c r="F21" s="31"/>
      <c r="G21" s="31"/>
    </row>
    <row r="23" customFormat="false" ht="19.5" hidden="false" customHeight="true" outlineLevel="0" collapsed="false">
      <c r="A23" s="23" t="s">
        <v>327</v>
      </c>
      <c r="B23" s="23"/>
      <c r="C23" s="23"/>
      <c r="D23" s="23"/>
      <c r="E23" s="23"/>
      <c r="F23" s="23"/>
      <c r="G23" s="23"/>
    </row>
    <row r="24" customFormat="false" ht="27.75" hidden="false" customHeight="true" outlineLevel="0" collapsed="false">
      <c r="A24" s="3" t="s">
        <v>6</v>
      </c>
      <c r="B24" s="3"/>
      <c r="C24" s="3" t="s">
        <v>328</v>
      </c>
      <c r="D24" s="3" t="s">
        <v>295</v>
      </c>
      <c r="E24" s="3" t="s">
        <v>296</v>
      </c>
      <c r="F24" s="3" t="s">
        <v>329</v>
      </c>
      <c r="G24" s="3" t="s">
        <v>330</v>
      </c>
    </row>
    <row r="25" customFormat="false" ht="30.75" hidden="false" customHeight="true" outlineLevel="0" collapsed="false">
      <c r="A25" s="34" t="s">
        <v>15</v>
      </c>
      <c r="B25" s="34"/>
      <c r="C25" s="24" t="n">
        <f aca="false">COUNTIF('15-Day Curriculum'!$E$5:$E$91,A25)</f>
        <v>11</v>
      </c>
      <c r="D25" s="26" t="n">
        <f aca="false">SUMIF('15-Day Curriculum'!$E$5:$E$91,A25,'15-Day Curriculum'!$F$5:$F$91)</f>
        <v>600</v>
      </c>
      <c r="E25" s="27" t="n">
        <f aca="false">D25/60</f>
        <v>10</v>
      </c>
      <c r="F25" s="35" t="n">
        <f aca="false">IF($D$21=0,0,D25/$D$21)</f>
        <v>0.0952380952380952</v>
      </c>
      <c r="G25" s="25" t="s">
        <v>331</v>
      </c>
    </row>
    <row r="26" customFormat="false" ht="30.75" hidden="false" customHeight="true" outlineLevel="0" collapsed="false">
      <c r="A26" s="36" t="s">
        <v>49</v>
      </c>
      <c r="B26" s="36"/>
      <c r="C26" s="24" t="n">
        <f aca="false">COUNTIF('15-Day Curriculum'!$E$5:$E$91,A26)</f>
        <v>11</v>
      </c>
      <c r="D26" s="26" t="n">
        <f aca="false">SUMIF('15-Day Curriculum'!$E$5:$E$91,A26,'15-Day Curriculum'!$F$5:$F$91)</f>
        <v>960</v>
      </c>
      <c r="E26" s="27" t="n">
        <f aca="false">D26/60</f>
        <v>16</v>
      </c>
      <c r="F26" s="35" t="n">
        <f aca="false">IF($D$21=0,0,D26/$D$21)</f>
        <v>0.152380952380952</v>
      </c>
      <c r="G26" s="25" t="s">
        <v>332</v>
      </c>
    </row>
    <row r="27" customFormat="false" ht="18" hidden="false" customHeight="true" outlineLevel="0" collapsed="false">
      <c r="A27" s="37" t="s">
        <v>59</v>
      </c>
      <c r="B27" s="37"/>
      <c r="C27" s="24" t="n">
        <f aca="false">COUNTIF('15-Day Curriculum'!$E$5:$E$91,A27)</f>
        <v>12</v>
      </c>
      <c r="D27" s="26" t="n">
        <f aca="false">SUMIF('15-Day Curriculum'!$E$5:$E$91,A27,'15-Day Curriculum'!$F$5:$F$91)</f>
        <v>900</v>
      </c>
      <c r="E27" s="27" t="n">
        <f aca="false">D27/60</f>
        <v>15</v>
      </c>
      <c r="F27" s="35" t="n">
        <f aca="false">IF($D$21=0,0,D27/$D$21)</f>
        <v>0.142857142857143</v>
      </c>
      <c r="G27" s="25" t="s">
        <v>333</v>
      </c>
    </row>
    <row r="28" customFormat="false" ht="18" hidden="false" customHeight="true" outlineLevel="0" collapsed="false">
      <c r="A28" s="38" t="s">
        <v>36</v>
      </c>
      <c r="B28" s="38"/>
      <c r="C28" s="24" t="n">
        <f aca="false">COUNTIF('15-Day Curriculum'!$E$5:$E$91,A28)</f>
        <v>46</v>
      </c>
      <c r="D28" s="26" t="n">
        <f aca="false">SUMIF('15-Day Curriculum'!$E$5:$E$91,A28,'15-Day Curriculum'!$F$5:$F$91)</f>
        <v>3450</v>
      </c>
      <c r="E28" s="27" t="n">
        <f aca="false">D28/60</f>
        <v>57.5</v>
      </c>
      <c r="F28" s="35" t="n">
        <f aca="false">IF($D$21=0,0,D28/$D$21)</f>
        <v>0.547619047619048</v>
      </c>
      <c r="G28" s="25" t="s">
        <v>334</v>
      </c>
    </row>
    <row r="29" customFormat="false" ht="30.75" hidden="false" customHeight="true" outlineLevel="0" collapsed="false">
      <c r="A29" s="30" t="s">
        <v>138</v>
      </c>
      <c r="B29" s="30"/>
      <c r="C29" s="24" t="n">
        <f aca="false">COUNTIF('15-Day Curriculum'!$E$5:$E$91,A29)</f>
        <v>4</v>
      </c>
      <c r="D29" s="26" t="n">
        <f aca="false">SUMIF('15-Day Curriculum'!$E$5:$E$91,A29,'15-Day Curriculum'!$F$5:$F$91)</f>
        <v>390</v>
      </c>
      <c r="E29" s="27" t="n">
        <f aca="false">D29/60</f>
        <v>6.5</v>
      </c>
      <c r="F29" s="35" t="n">
        <f aca="false">IF($D$21=0,0,D29/$D$21)</f>
        <v>0.0619047619047619</v>
      </c>
      <c r="G29" s="25" t="s">
        <v>335</v>
      </c>
    </row>
    <row r="30" customFormat="false" ht="15" hidden="false" customHeight="false" outlineLevel="0" collapsed="false">
      <c r="A30" s="31" t="s">
        <v>326</v>
      </c>
      <c r="B30" s="31"/>
      <c r="C30" s="39" t="n">
        <f aca="false">SUM(C25:C29)</f>
        <v>84</v>
      </c>
      <c r="D30" s="32" t="n">
        <f aca="false">SUM(D25:D29)</f>
        <v>6300</v>
      </c>
      <c r="E30" s="33" t="n">
        <f aca="false">SUM(E25:E29)</f>
        <v>105</v>
      </c>
      <c r="F30" s="40" t="n">
        <f aca="false">SUM(F25:F29)</f>
        <v>1</v>
      </c>
      <c r="G30" s="31"/>
    </row>
    <row r="32" customFormat="false" ht="19.5" hidden="false" customHeight="true" outlineLevel="0" collapsed="false">
      <c r="A32" s="23" t="s">
        <v>336</v>
      </c>
      <c r="B32" s="23"/>
      <c r="C32" s="23"/>
      <c r="D32" s="23"/>
      <c r="E32" s="23"/>
      <c r="F32" s="23"/>
      <c r="G32" s="23"/>
    </row>
    <row r="33" customFormat="false" ht="27.75" hidden="false" customHeight="true" outlineLevel="0" collapsed="false">
      <c r="A33" s="3" t="s">
        <v>10</v>
      </c>
      <c r="B33" s="3"/>
      <c r="C33" s="3" t="s">
        <v>328</v>
      </c>
      <c r="D33" s="3" t="s">
        <v>295</v>
      </c>
      <c r="E33" s="3" t="s">
        <v>296</v>
      </c>
      <c r="F33" s="3" t="s">
        <v>329</v>
      </c>
      <c r="G33" s="3" t="s">
        <v>330</v>
      </c>
    </row>
    <row r="34" customFormat="false" ht="30.75" hidden="false" customHeight="true" outlineLevel="0" collapsed="false">
      <c r="A34" s="11" t="s">
        <v>27</v>
      </c>
      <c r="B34" s="11"/>
      <c r="C34" s="24" t="n">
        <f aca="false">COUNTIF('15-Day Curriculum'!$I$5:$I$91,A34)</f>
        <v>12</v>
      </c>
      <c r="D34" s="26" t="n">
        <f aca="false">SUMIF('15-Day Curriculum'!$I$5:$I$91,A34,'15-Day Curriculum'!$F$5:$F$91)</f>
        <v>870</v>
      </c>
      <c r="E34" s="27" t="n">
        <f aca="false">D34/60</f>
        <v>14.5</v>
      </c>
      <c r="F34" s="35" t="n">
        <f aca="false">IF($D$21=0,0,D34/$D$21)</f>
        <v>0.138095238095238</v>
      </c>
      <c r="G34" s="25" t="s">
        <v>337</v>
      </c>
    </row>
    <row r="35" customFormat="false" ht="30.75" hidden="false" customHeight="true" outlineLevel="0" collapsed="false">
      <c r="A35" s="10" t="s">
        <v>18</v>
      </c>
      <c r="B35" s="10"/>
      <c r="C35" s="24" t="n">
        <f aca="false">COUNTIF('15-Day Curriculum'!$I$5:$I$91,A35)</f>
        <v>8</v>
      </c>
      <c r="D35" s="26" t="n">
        <f aca="false">SUMIF('15-Day Curriculum'!$I$5:$I$91,A35,'15-Day Curriculum'!$F$5:$F$91)</f>
        <v>555</v>
      </c>
      <c r="E35" s="27" t="n">
        <f aca="false">D35/60</f>
        <v>9.25</v>
      </c>
      <c r="F35" s="35" t="n">
        <f aca="false">IF($D$21=0,0,D35/$D$21)</f>
        <v>0.0880952380952381</v>
      </c>
      <c r="G35" s="25" t="s">
        <v>338</v>
      </c>
    </row>
    <row r="36" customFormat="false" ht="30.75" hidden="false" customHeight="true" outlineLevel="0" collapsed="false">
      <c r="A36" s="21" t="s">
        <v>60</v>
      </c>
      <c r="B36" s="21"/>
      <c r="C36" s="24" t="n">
        <f aca="false">COUNTIF('15-Day Curriculum'!$I$5:$I$91,A36)</f>
        <v>18</v>
      </c>
      <c r="D36" s="26" t="n">
        <f aca="false">SUMIF('15-Day Curriculum'!$I$5:$I$91,A36,'15-Day Curriculum'!$F$5:$F$91)</f>
        <v>2040</v>
      </c>
      <c r="E36" s="27" t="n">
        <f aca="false">D36/60</f>
        <v>34</v>
      </c>
      <c r="F36" s="35" t="n">
        <f aca="false">IF($D$21=0,0,D36/$D$21)</f>
        <v>0.323809523809524</v>
      </c>
      <c r="G36" s="25" t="s">
        <v>339</v>
      </c>
    </row>
    <row r="37" customFormat="false" ht="30.75" hidden="false" customHeight="true" outlineLevel="0" collapsed="false">
      <c r="A37" s="14" t="s">
        <v>42</v>
      </c>
      <c r="B37" s="14"/>
      <c r="C37" s="24" t="n">
        <f aca="false">COUNTIF('15-Day Curriculum'!$I$5:$I$91,A37)</f>
        <v>39</v>
      </c>
      <c r="D37" s="26" t="n">
        <f aca="false">SUMIF('15-Day Curriculum'!$I$5:$I$91,A37,'15-Day Curriculum'!$F$5:$F$91)</f>
        <v>2145</v>
      </c>
      <c r="E37" s="27" t="n">
        <f aca="false">D37/60</f>
        <v>35.75</v>
      </c>
      <c r="F37" s="35" t="n">
        <f aca="false">IF($D$21=0,0,D37/$D$21)</f>
        <v>0.340476190476191</v>
      </c>
      <c r="G37" s="25" t="s">
        <v>340</v>
      </c>
    </row>
    <row r="38" customFormat="false" ht="18" hidden="false" customHeight="true" outlineLevel="0" collapsed="false">
      <c r="A38" s="13" t="s">
        <v>38</v>
      </c>
      <c r="B38" s="13"/>
      <c r="C38" s="24" t="n">
        <f aca="false">COUNTIF('15-Day Curriculum'!$I$5:$I$91,A38)</f>
        <v>7</v>
      </c>
      <c r="D38" s="26" t="n">
        <f aca="false">SUMIF('15-Day Curriculum'!$I$5:$I$91,A38,'15-Day Curriculum'!$F$5:$F$91)</f>
        <v>690</v>
      </c>
      <c r="E38" s="27" t="n">
        <f aca="false">D38/60</f>
        <v>11.5</v>
      </c>
      <c r="F38" s="35" t="n">
        <f aca="false">IF($D$21=0,0,D38/$D$21)</f>
        <v>0.10952380952381</v>
      </c>
      <c r="G38" s="25" t="s">
        <v>341</v>
      </c>
    </row>
    <row r="39" customFormat="false" ht="15" hidden="false" customHeight="false" outlineLevel="0" collapsed="false">
      <c r="A39" s="31" t="s">
        <v>326</v>
      </c>
      <c r="B39" s="31"/>
      <c r="C39" s="39" t="n">
        <f aca="false">SUM(C34:C38)</f>
        <v>84</v>
      </c>
      <c r="D39" s="32" t="n">
        <f aca="false">SUM(D34:D38)</f>
        <v>6300</v>
      </c>
      <c r="E39" s="33" t="n">
        <f aca="false">SUM(E34:E38)</f>
        <v>105</v>
      </c>
      <c r="F39" s="40" t="n">
        <f aca="false">SUM(F34:F38)</f>
        <v>1</v>
      </c>
      <c r="G39" s="31"/>
    </row>
    <row r="41" customFormat="false" ht="19.5" hidden="false" customHeight="true" outlineLevel="0" collapsed="false">
      <c r="A41" s="23" t="s">
        <v>342</v>
      </c>
      <c r="B41" s="23"/>
      <c r="C41" s="23"/>
      <c r="D41" s="23"/>
      <c r="E41" s="23"/>
      <c r="F41" s="23"/>
      <c r="G41" s="23"/>
    </row>
    <row r="42" customFormat="false" ht="30" hidden="false" customHeight="true" outlineLevel="0" collapsed="false">
      <c r="A42" s="41" t="s">
        <v>343</v>
      </c>
      <c r="B42" s="41"/>
      <c r="C42" s="41"/>
      <c r="D42" s="41"/>
      <c r="E42" s="41"/>
      <c r="F42" s="41"/>
      <c r="G42" s="41"/>
    </row>
    <row r="43" customFormat="false" ht="16.5" hidden="false" customHeight="true" outlineLevel="0" collapsed="false">
      <c r="A43" s="41" t="s">
        <v>344</v>
      </c>
      <c r="B43" s="41"/>
      <c r="C43" s="41"/>
      <c r="D43" s="41"/>
      <c r="E43" s="41"/>
      <c r="F43" s="41"/>
      <c r="G43" s="41"/>
    </row>
    <row r="44" customFormat="false" ht="16.5" hidden="false" customHeight="true" outlineLevel="0" collapsed="false">
      <c r="A44" s="41" t="s">
        <v>345</v>
      </c>
      <c r="B44" s="41"/>
      <c r="C44" s="41"/>
      <c r="D44" s="41"/>
      <c r="E44" s="41"/>
      <c r="F44" s="41"/>
      <c r="G44" s="41"/>
    </row>
    <row r="45" customFormat="false" ht="16.5" hidden="false" customHeight="true" outlineLevel="0" collapsed="false">
      <c r="A45" s="41" t="s">
        <v>346</v>
      </c>
      <c r="B45" s="41"/>
      <c r="C45" s="41"/>
      <c r="D45" s="41"/>
      <c r="E45" s="41"/>
      <c r="F45" s="41"/>
      <c r="G45" s="41"/>
    </row>
    <row r="46" customFormat="false" ht="16.5" hidden="false" customHeight="true" outlineLevel="0" collapsed="false">
      <c r="A46" s="41" t="s">
        <v>347</v>
      </c>
      <c r="B46" s="41"/>
      <c r="C46" s="41"/>
      <c r="D46" s="41"/>
      <c r="E46" s="41"/>
      <c r="F46" s="41"/>
      <c r="G46" s="41"/>
    </row>
    <row r="47" customFormat="false" ht="16.5" hidden="false" customHeight="true" outlineLevel="0" collapsed="false">
      <c r="A47" s="41" t="s">
        <v>348</v>
      </c>
      <c r="B47" s="41"/>
      <c r="C47" s="41"/>
      <c r="D47" s="41"/>
      <c r="E47" s="41"/>
      <c r="F47" s="41"/>
      <c r="G47" s="41"/>
    </row>
  </sheetData>
  <mergeCells count="27">
    <mergeCell ref="A1:G1"/>
    <mergeCell ref="A2:G2"/>
    <mergeCell ref="A4:G4"/>
    <mergeCell ref="A21:C21"/>
    <mergeCell ref="A23:G23"/>
    <mergeCell ref="A24:B24"/>
    <mergeCell ref="A25:B25"/>
    <mergeCell ref="A26:B26"/>
    <mergeCell ref="A27:B27"/>
    <mergeCell ref="A28:B28"/>
    <mergeCell ref="A29:B29"/>
    <mergeCell ref="A30:B30"/>
    <mergeCell ref="A32:G32"/>
    <mergeCell ref="A33:B33"/>
    <mergeCell ref="A34:B34"/>
    <mergeCell ref="A35:B35"/>
    <mergeCell ref="A36:B36"/>
    <mergeCell ref="A37:B37"/>
    <mergeCell ref="A38:B38"/>
    <mergeCell ref="A39:B39"/>
    <mergeCell ref="A41:G41"/>
    <mergeCell ref="A42:G42"/>
    <mergeCell ref="A43:G43"/>
    <mergeCell ref="A44:G44"/>
    <mergeCell ref="A45:G45"/>
    <mergeCell ref="A46:G46"/>
    <mergeCell ref="A47:G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0"/>
    <col collapsed="false" customWidth="true" hidden="false" outlineLevel="0" max="3" min="3" style="0" width="14"/>
    <col collapsed="false" customWidth="true" hidden="false" outlineLevel="0" max="4" min="4" style="0" width="62"/>
    <col collapsed="false" customWidth="true" hidden="false" outlineLevel="0" max="5" min="5" style="0" width="9"/>
    <col collapsed="false" customWidth="true" hidden="false" outlineLevel="0" max="6" min="6" style="0" width="13"/>
  </cols>
  <sheetData>
    <row r="1" customFormat="false" ht="24" hidden="false" customHeight="true" outlineLevel="0" collapsed="false">
      <c r="A1" s="1" t="s">
        <v>349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350</v>
      </c>
      <c r="B2" s="2"/>
      <c r="C2" s="2"/>
      <c r="D2" s="2"/>
      <c r="E2" s="2"/>
      <c r="F2" s="2"/>
    </row>
    <row r="4" customFormat="false" ht="27.75" hidden="false" customHeight="true" outlineLevel="0" collapsed="false">
      <c r="A4" s="3" t="s">
        <v>351</v>
      </c>
      <c r="B4" s="3" t="s">
        <v>352</v>
      </c>
      <c r="C4" s="3" t="s">
        <v>353</v>
      </c>
      <c r="D4" s="3" t="s">
        <v>354</v>
      </c>
      <c r="E4" s="3" t="s">
        <v>355</v>
      </c>
      <c r="F4" s="3" t="s">
        <v>356</v>
      </c>
    </row>
    <row r="5" customFormat="false" ht="30.75" hidden="false" customHeight="true" outlineLevel="0" collapsed="false">
      <c r="A5" s="24" t="n">
        <v>1</v>
      </c>
      <c r="B5" s="42" t="s">
        <v>357</v>
      </c>
      <c r="C5" s="24" t="s">
        <v>358</v>
      </c>
      <c r="D5" s="25" t="s">
        <v>359</v>
      </c>
      <c r="E5" s="24" t="s">
        <v>360</v>
      </c>
      <c r="F5" s="43" t="s">
        <v>361</v>
      </c>
    </row>
    <row r="6" customFormat="false" ht="30.75" hidden="false" customHeight="true" outlineLevel="0" collapsed="false">
      <c r="A6" s="28" t="n">
        <v>2</v>
      </c>
      <c r="B6" s="16" t="s">
        <v>362</v>
      </c>
      <c r="C6" s="28" t="s">
        <v>363</v>
      </c>
      <c r="D6" s="17" t="s">
        <v>364</v>
      </c>
      <c r="E6" s="28" t="s">
        <v>360</v>
      </c>
      <c r="F6" s="43" t="s">
        <v>361</v>
      </c>
    </row>
    <row r="7" customFormat="false" ht="30.75" hidden="false" customHeight="true" outlineLevel="0" collapsed="false">
      <c r="A7" s="24" t="n">
        <v>3</v>
      </c>
      <c r="B7" s="42" t="s">
        <v>365</v>
      </c>
      <c r="C7" s="24" t="s">
        <v>363</v>
      </c>
      <c r="D7" s="25" t="s">
        <v>366</v>
      </c>
      <c r="E7" s="24" t="s">
        <v>367</v>
      </c>
      <c r="F7" s="43" t="s">
        <v>361</v>
      </c>
    </row>
    <row r="8" customFormat="false" ht="18" hidden="false" customHeight="true" outlineLevel="0" collapsed="false">
      <c r="A8" s="28" t="n">
        <v>4</v>
      </c>
      <c r="B8" s="16" t="s">
        <v>368</v>
      </c>
      <c r="C8" s="28" t="s">
        <v>369</v>
      </c>
      <c r="D8" s="17" t="s">
        <v>370</v>
      </c>
      <c r="E8" s="28" t="s">
        <v>367</v>
      </c>
      <c r="F8" s="43" t="s">
        <v>361</v>
      </c>
    </row>
    <row r="9" customFormat="false" ht="30.75" hidden="false" customHeight="true" outlineLevel="0" collapsed="false">
      <c r="A9" s="24" t="n">
        <v>5</v>
      </c>
      <c r="B9" s="42" t="s">
        <v>371</v>
      </c>
      <c r="C9" s="24" t="s">
        <v>369</v>
      </c>
      <c r="D9" s="25" t="s">
        <v>372</v>
      </c>
      <c r="E9" s="24" t="s">
        <v>367</v>
      </c>
      <c r="F9" s="43" t="s">
        <v>361</v>
      </c>
    </row>
    <row r="10" customFormat="false" ht="30.75" hidden="false" customHeight="true" outlineLevel="0" collapsed="false">
      <c r="A10" s="28" t="n">
        <v>6</v>
      </c>
      <c r="B10" s="16" t="s">
        <v>373</v>
      </c>
      <c r="C10" s="28" t="s">
        <v>374</v>
      </c>
      <c r="D10" s="17" t="s">
        <v>375</v>
      </c>
      <c r="E10" s="28" t="s">
        <v>367</v>
      </c>
      <c r="F10" s="43" t="s">
        <v>361</v>
      </c>
    </row>
    <row r="11" customFormat="false" ht="18" hidden="false" customHeight="true" outlineLevel="0" collapsed="false">
      <c r="A11" s="24" t="n">
        <v>7</v>
      </c>
      <c r="B11" s="42" t="s">
        <v>376</v>
      </c>
      <c r="C11" s="24" t="s">
        <v>377</v>
      </c>
      <c r="D11" s="25" t="s">
        <v>378</v>
      </c>
      <c r="E11" s="24" t="s">
        <v>367</v>
      </c>
      <c r="F11" s="43" t="s">
        <v>361</v>
      </c>
    </row>
    <row r="12" customFormat="false" ht="18" hidden="false" customHeight="true" outlineLevel="0" collapsed="false">
      <c r="A12" s="28" t="n">
        <v>8</v>
      </c>
      <c r="B12" s="16" t="s">
        <v>379</v>
      </c>
      <c r="C12" s="28" t="s">
        <v>377</v>
      </c>
      <c r="D12" s="17" t="s">
        <v>380</v>
      </c>
      <c r="E12" s="28" t="s">
        <v>367</v>
      </c>
      <c r="F12" s="43" t="s">
        <v>361</v>
      </c>
    </row>
    <row r="13" customFormat="false" ht="18" hidden="false" customHeight="true" outlineLevel="0" collapsed="false">
      <c r="A13" s="24" t="n">
        <v>9</v>
      </c>
      <c r="B13" s="42" t="s">
        <v>381</v>
      </c>
      <c r="C13" s="24" t="s">
        <v>377</v>
      </c>
      <c r="D13" s="25" t="s">
        <v>382</v>
      </c>
      <c r="E13" s="24" t="s">
        <v>367</v>
      </c>
      <c r="F13" s="43" t="s">
        <v>361</v>
      </c>
    </row>
    <row r="14" customFormat="false" ht="18" hidden="false" customHeight="true" outlineLevel="0" collapsed="false">
      <c r="A14" s="28" t="n">
        <v>10</v>
      </c>
      <c r="B14" s="16" t="s">
        <v>383</v>
      </c>
      <c r="C14" s="28" t="s">
        <v>384</v>
      </c>
      <c r="D14" s="17" t="s">
        <v>385</v>
      </c>
      <c r="E14" s="28" t="s">
        <v>367</v>
      </c>
      <c r="F14" s="43" t="s">
        <v>361</v>
      </c>
    </row>
    <row r="15" customFormat="false" ht="18" hidden="false" customHeight="true" outlineLevel="0" collapsed="false">
      <c r="A15" s="24" t="n">
        <v>11</v>
      </c>
      <c r="B15" s="42" t="s">
        <v>386</v>
      </c>
      <c r="C15" s="24" t="s">
        <v>387</v>
      </c>
      <c r="D15" s="25" t="s">
        <v>388</v>
      </c>
      <c r="E15" s="24" t="s">
        <v>367</v>
      </c>
      <c r="F15" s="43" t="s">
        <v>361</v>
      </c>
    </row>
    <row r="16" customFormat="false" ht="30.75" hidden="false" customHeight="true" outlineLevel="0" collapsed="false">
      <c r="A16" s="28" t="n">
        <v>12</v>
      </c>
      <c r="B16" s="16" t="s">
        <v>389</v>
      </c>
      <c r="C16" s="28" t="s">
        <v>390</v>
      </c>
      <c r="D16" s="17" t="s">
        <v>391</v>
      </c>
      <c r="E16" s="28" t="s">
        <v>367</v>
      </c>
      <c r="F16" s="43" t="s">
        <v>361</v>
      </c>
    </row>
    <row r="17" customFormat="false" ht="30.75" hidden="false" customHeight="true" outlineLevel="0" collapsed="false">
      <c r="A17" s="24" t="n">
        <v>13</v>
      </c>
      <c r="B17" s="42" t="s">
        <v>392</v>
      </c>
      <c r="C17" s="24" t="s">
        <v>393</v>
      </c>
      <c r="D17" s="25" t="s">
        <v>394</v>
      </c>
      <c r="E17" s="24" t="s">
        <v>367</v>
      </c>
      <c r="F17" s="43" t="s">
        <v>361</v>
      </c>
    </row>
    <row r="18" customFormat="false" ht="30.75" hidden="false" customHeight="true" outlineLevel="0" collapsed="false">
      <c r="A18" s="28" t="n">
        <v>14</v>
      </c>
      <c r="B18" s="16" t="s">
        <v>395</v>
      </c>
      <c r="C18" s="28" t="s">
        <v>396</v>
      </c>
      <c r="D18" s="17" t="s">
        <v>397</v>
      </c>
      <c r="E18" s="28" t="s">
        <v>367</v>
      </c>
      <c r="F18" s="43" t="s">
        <v>361</v>
      </c>
    </row>
    <row r="19" customFormat="false" ht="18" hidden="false" customHeight="true" outlineLevel="0" collapsed="false">
      <c r="A19" s="24" t="n">
        <v>15</v>
      </c>
      <c r="B19" s="42" t="s">
        <v>398</v>
      </c>
      <c r="C19" s="24" t="s">
        <v>399</v>
      </c>
      <c r="D19" s="25" t="s">
        <v>400</v>
      </c>
      <c r="E19" s="24" t="s">
        <v>367</v>
      </c>
      <c r="F19" s="43" t="s">
        <v>361</v>
      </c>
    </row>
    <row r="20" customFormat="false" ht="18" hidden="false" customHeight="true" outlineLevel="0" collapsed="false">
      <c r="A20" s="28" t="n">
        <v>16</v>
      </c>
      <c r="B20" s="16" t="s">
        <v>401</v>
      </c>
      <c r="C20" s="28" t="s">
        <v>402</v>
      </c>
      <c r="D20" s="17" t="s">
        <v>403</v>
      </c>
      <c r="E20" s="28" t="s">
        <v>367</v>
      </c>
      <c r="F20" s="43" t="s">
        <v>361</v>
      </c>
    </row>
    <row r="21" customFormat="false" ht="18" hidden="false" customHeight="true" outlineLevel="0" collapsed="false">
      <c r="A21" s="24" t="n">
        <v>17</v>
      </c>
      <c r="B21" s="42" t="s">
        <v>404</v>
      </c>
      <c r="C21" s="24" t="s">
        <v>405</v>
      </c>
      <c r="D21" s="25" t="s">
        <v>406</v>
      </c>
      <c r="E21" s="24" t="s">
        <v>367</v>
      </c>
      <c r="F21" s="43" t="s">
        <v>361</v>
      </c>
    </row>
    <row r="22" customFormat="false" ht="18" hidden="false" customHeight="true" outlineLevel="0" collapsed="false">
      <c r="A22" s="28" t="n">
        <v>18</v>
      </c>
      <c r="B22" s="16" t="s">
        <v>407</v>
      </c>
      <c r="C22" s="28" t="s">
        <v>408</v>
      </c>
      <c r="D22" s="17" t="s">
        <v>409</v>
      </c>
      <c r="E22" s="28" t="s">
        <v>360</v>
      </c>
      <c r="F22" s="43" t="s">
        <v>361</v>
      </c>
    </row>
    <row r="23" customFormat="false" ht="18" hidden="false" customHeight="true" outlineLevel="0" collapsed="false">
      <c r="A23" s="24" t="n">
        <v>19</v>
      </c>
      <c r="B23" s="42" t="s">
        <v>410</v>
      </c>
      <c r="C23" s="24" t="s">
        <v>411</v>
      </c>
      <c r="D23" s="25" t="s">
        <v>412</v>
      </c>
      <c r="E23" s="24" t="s">
        <v>360</v>
      </c>
      <c r="F23" s="43" t="s">
        <v>361</v>
      </c>
    </row>
    <row r="24" customFormat="false" ht="30.75" hidden="false" customHeight="true" outlineLevel="0" collapsed="false">
      <c r="A24" s="28" t="n">
        <v>20</v>
      </c>
      <c r="B24" s="16" t="s">
        <v>413</v>
      </c>
      <c r="C24" s="28" t="s">
        <v>414</v>
      </c>
      <c r="D24" s="17" t="s">
        <v>415</v>
      </c>
      <c r="E24" s="28" t="s">
        <v>360</v>
      </c>
      <c r="F24" s="43" t="s">
        <v>361</v>
      </c>
    </row>
    <row r="25" customFormat="false" ht="30.75" hidden="false" customHeight="true" outlineLevel="0" collapsed="false">
      <c r="A25" s="24" t="n">
        <v>21</v>
      </c>
      <c r="B25" s="42" t="s">
        <v>416</v>
      </c>
      <c r="C25" s="24" t="s">
        <v>417</v>
      </c>
      <c r="D25" s="25" t="s">
        <v>418</v>
      </c>
      <c r="E25" s="24" t="s">
        <v>367</v>
      </c>
      <c r="F25" s="43" t="s">
        <v>361</v>
      </c>
    </row>
  </sheetData>
  <mergeCells count="2">
    <mergeCell ref="A1:F1"/>
    <mergeCell ref="A2:F2"/>
  </mergeCells>
  <dataValidations count="1">
    <dataValidation allowBlank="true" errorStyle="stop" operator="between" showDropDown="false" showErrorMessage="false" showInputMessage="false" sqref="F5:F25" type="list">
      <formula1>"Open,Requested,Received"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2026-10-22T13:30:28Z</dcterms:created>
  <dc:creator>openpyxl</dc:creator>
  <dc:description/>
  <dc:language>en-US</dc:language>
  <cp:lastModifiedBy/>
  <dcterms:modified xsi:type="dcterms:W3CDTF">2026-10-22T13:30:28Z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